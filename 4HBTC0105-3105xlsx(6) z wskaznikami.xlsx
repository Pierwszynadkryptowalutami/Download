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\Downloads\GITHUB\"/>
    </mc:Choice>
  </mc:AlternateContent>
  <xr:revisionPtr revIDLastSave="0" documentId="13_ncr:1_{EA8EC49A-D72B-448C-9F8A-2B10460AB6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Sheet1!$B$111:$B$111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2" i="1" l="1"/>
  <c r="I1048576" i="1"/>
  <c r="L22" i="1" s="1"/>
</calcChain>
</file>

<file path=xl/sharedStrings.xml><?xml version="1.0" encoding="utf-8"?>
<sst xmlns="http://schemas.openxmlformats.org/spreadsheetml/2006/main" count="388" uniqueCount="21">
  <si>
    <t>Sata</t>
  </si>
  <si>
    <t>Godzina</t>
  </si>
  <si>
    <t>Siła</t>
  </si>
  <si>
    <t>Cena</t>
  </si>
  <si>
    <t>Wejscie</t>
  </si>
  <si>
    <t>SL</t>
  </si>
  <si>
    <t>TP</t>
  </si>
  <si>
    <t>SL LQ</t>
  </si>
  <si>
    <t>TP LQ</t>
  </si>
  <si>
    <t>Gra LQ</t>
  </si>
  <si>
    <t>Zysk LG</t>
  </si>
  <si>
    <t>Strata LG</t>
  </si>
  <si>
    <t>LONG</t>
  </si>
  <si>
    <t>Z</t>
  </si>
  <si>
    <t>NEUTRAL</t>
  </si>
  <si>
    <t>SHORT</t>
  </si>
  <si>
    <t xml:space="preserve">Z </t>
  </si>
  <si>
    <t>PUSTE</t>
  </si>
  <si>
    <t>procent LG</t>
  </si>
  <si>
    <t>procent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</si>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</sst>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242424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0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0" fillId="3" borderId="0" xfId="0" applyFill="1"/>
    <xf numFmtId="2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14" fontId="0" fillId="0" borderId="0" xfId="0" applyNumberFormat="1"/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  <xf numFmtId="0" fontId="3" fillId="5" borderId="0" xfId="0" applyFont="1" applyFill="1"/>
    <xf numFmtId="16" fontId="0" fillId="0" borderId="0" xfId="0" applyNumberFormat="1"/>
    <xf numFmtId="9" fontId="0" fillId="0" borderId="0" xfId="0" applyNumberFormat="1"/>
    <xf numFmtId="0" fontId="1" fillId="6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46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048576"/>
  <sheetViews>
    <sheetView tabSelected="1" workbookViewId="0">
      <pane ySplit="1" topLeftCell="A135" activePane="bottomLeft" state="frozen"/>
      <selection pane="bottomLeft" activeCell="A137" sqref="A137"/>
    </sheetView>
  </sheetViews>
  <sheetFormatPr defaultRowHeight="15" customHeight="1" x14ac:dyDescent="0.25"/>
  <cols>
    <col min="1" max="1" width="19.5703125" style="9" bestFit="1" customWidth="1"/>
    <col min="2" max="2" width="10" customWidth="1"/>
    <col min="4" max="4" width="9.28515625" bestFit="1" customWidth="1"/>
    <col min="6" max="7" width="9.28515625" bestFit="1" customWidth="1"/>
    <col min="11" max="11" width="9.5703125" customWidth="1"/>
  </cols>
  <sheetData>
    <row r="1" spans="1:19" x14ac:dyDescent="0.25">
      <c r="A1" s="10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7</v>
      </c>
      <c r="G1" s="3" t="s">
        <v>8</v>
      </c>
      <c r="H1" s="1" t="s">
        <v>9</v>
      </c>
      <c r="I1" s="1" t="s">
        <v>10</v>
      </c>
      <c r="J1" s="1" t="s">
        <v>11</v>
      </c>
      <c r="K1" s="19"/>
    </row>
    <row r="2" spans="1:19" x14ac:dyDescent="0.25">
      <c r="A2" s="11">
        <v>46143</v>
      </c>
      <c r="B2" s="5">
        <v>8.3333333333333329E-2</v>
      </c>
      <c r="C2">
        <v>55</v>
      </c>
      <c r="D2" s="6">
        <v>76346.570000000007</v>
      </c>
      <c r="E2" s="6" t="s">
        <v>12</v>
      </c>
      <c r="F2" s="6">
        <v>75733.61</v>
      </c>
      <c r="G2" s="7">
        <v>76544.73</v>
      </c>
      <c r="H2">
        <v>0</v>
      </c>
      <c r="I2" t="s">
        <v>13</v>
      </c>
      <c r="J2">
        <v>0</v>
      </c>
    </row>
    <row r="3" spans="1:19" x14ac:dyDescent="0.25">
      <c r="A3" s="11">
        <v>46143</v>
      </c>
      <c r="B3" s="2">
        <v>0.25</v>
      </c>
      <c r="C3">
        <v>58</v>
      </c>
      <c r="D3">
        <v>77131.08</v>
      </c>
      <c r="E3" t="s">
        <v>14</v>
      </c>
      <c r="F3">
        <v>0</v>
      </c>
      <c r="G3">
        <v>0</v>
      </c>
      <c r="H3">
        <v>0</v>
      </c>
      <c r="I3">
        <v>0</v>
      </c>
      <c r="J3">
        <v>0</v>
      </c>
      <c r="K3" s="1" t="s">
        <v>0</v>
      </c>
      <c r="L3" s="1" t="s">
        <v>1</v>
      </c>
      <c r="M3" s="3" t="s">
        <v>2</v>
      </c>
      <c r="N3" s="1" t="s">
        <v>3</v>
      </c>
      <c r="O3" s="1" t="s">
        <v>4</v>
      </c>
      <c r="P3" s="1" t="s">
        <v>5</v>
      </c>
      <c r="Q3" s="1" t="s">
        <v>6</v>
      </c>
      <c r="R3" s="3" t="s">
        <v>7</v>
      </c>
      <c r="S3" s="3" t="s">
        <v>8</v>
      </c>
    </row>
    <row r="4" spans="1:19" x14ac:dyDescent="0.25">
      <c r="A4" s="11">
        <v>46143</v>
      </c>
      <c r="B4" s="2">
        <v>0.41666666666666669</v>
      </c>
      <c r="C4">
        <v>60</v>
      </c>
      <c r="D4">
        <v>77130.539999999994</v>
      </c>
      <c r="E4" t="s">
        <v>14</v>
      </c>
      <c r="F4">
        <v>0</v>
      </c>
      <c r="G4">
        <v>0</v>
      </c>
      <c r="H4">
        <v>0</v>
      </c>
      <c r="I4">
        <v>0</v>
      </c>
      <c r="J4">
        <v>0</v>
      </c>
      <c r="K4" s="8">
        <v>46219</v>
      </c>
      <c r="L4" s="2">
        <v>0.59652777777777777</v>
      </c>
      <c r="M4">
        <v>68</v>
      </c>
      <c r="N4">
        <v>64256.53</v>
      </c>
      <c r="O4" t="s">
        <v>12</v>
      </c>
      <c r="P4">
        <v>63209.27</v>
      </c>
      <c r="Q4">
        <v>66351.05</v>
      </c>
      <c r="R4">
        <v>64753.120000000003</v>
      </c>
      <c r="S4">
        <v>65498.42</v>
      </c>
    </row>
    <row r="5" spans="1:19" x14ac:dyDescent="0.25">
      <c r="A5" s="11">
        <v>46143</v>
      </c>
      <c r="B5" s="2">
        <v>0.58333333333333337</v>
      </c>
      <c r="C5">
        <v>60</v>
      </c>
      <c r="D5">
        <v>77463.98</v>
      </c>
      <c r="E5" t="s">
        <v>12</v>
      </c>
      <c r="F5">
        <v>76442.39</v>
      </c>
      <c r="G5" s="4">
        <v>77784.240000000005</v>
      </c>
      <c r="H5">
        <v>0</v>
      </c>
      <c r="I5" t="s">
        <v>13</v>
      </c>
      <c r="J5">
        <v>0</v>
      </c>
      <c r="K5" s="8">
        <v>46219</v>
      </c>
      <c r="L5" s="2">
        <v>0.79027777777777775</v>
      </c>
      <c r="M5">
        <v>67</v>
      </c>
      <c r="N5">
        <v>64704.73</v>
      </c>
      <c r="O5" t="s">
        <v>12</v>
      </c>
      <c r="P5">
        <v>63563.55</v>
      </c>
      <c r="Q5">
        <v>66987.08</v>
      </c>
      <c r="R5">
        <v>61610.43</v>
      </c>
      <c r="S5">
        <v>64852.32</v>
      </c>
    </row>
    <row r="6" spans="1:19" ht="15" customHeight="1" x14ac:dyDescent="0.25">
      <c r="A6" s="11">
        <v>46143</v>
      </c>
      <c r="B6" s="2">
        <v>0.75</v>
      </c>
      <c r="C6">
        <v>60</v>
      </c>
      <c r="D6">
        <v>78445.89</v>
      </c>
      <c r="E6" t="s">
        <v>14</v>
      </c>
      <c r="F6">
        <v>0</v>
      </c>
      <c r="G6">
        <v>0</v>
      </c>
      <c r="H6">
        <v>0</v>
      </c>
      <c r="I6">
        <v>0</v>
      </c>
      <c r="J6">
        <v>0</v>
      </c>
      <c r="K6" s="8">
        <v>46219</v>
      </c>
      <c r="L6" s="2">
        <v>0.92777777777777781</v>
      </c>
      <c r="M6">
        <v>49</v>
      </c>
      <c r="N6">
        <v>64271.839999999997</v>
      </c>
      <c r="O6" t="s">
        <v>12</v>
      </c>
      <c r="P6">
        <v>63317.61</v>
      </c>
      <c r="Q6">
        <v>66180.289999999994</v>
      </c>
      <c r="R6">
        <v>63770.61</v>
      </c>
      <c r="S6">
        <v>64807.44</v>
      </c>
    </row>
    <row r="7" spans="1:19" ht="15" customHeight="1" x14ac:dyDescent="0.25">
      <c r="A7" s="11">
        <v>46143</v>
      </c>
      <c r="B7" s="2">
        <v>0.91666666666666663</v>
      </c>
      <c r="C7">
        <v>60</v>
      </c>
      <c r="D7">
        <v>78360</v>
      </c>
      <c r="E7" t="s">
        <v>14</v>
      </c>
      <c r="F7">
        <v>0</v>
      </c>
      <c r="G7">
        <v>0</v>
      </c>
      <c r="H7">
        <v>0</v>
      </c>
      <c r="I7">
        <v>0</v>
      </c>
      <c r="J7">
        <v>0</v>
      </c>
      <c r="K7" s="8"/>
    </row>
    <row r="8" spans="1:19" ht="15" customHeight="1" x14ac:dyDescent="0.25">
      <c r="A8" s="11">
        <v>46144</v>
      </c>
      <c r="B8" s="2">
        <v>8.3333333333333329E-2</v>
      </c>
      <c r="C8">
        <v>65</v>
      </c>
      <c r="D8">
        <v>78231.13</v>
      </c>
      <c r="E8" t="s">
        <v>14</v>
      </c>
      <c r="F8">
        <v>0</v>
      </c>
      <c r="G8">
        <v>0</v>
      </c>
      <c r="H8">
        <v>0</v>
      </c>
      <c r="I8">
        <v>0</v>
      </c>
      <c r="J8">
        <v>0</v>
      </c>
    </row>
    <row r="9" spans="1:19" ht="15" customHeight="1" x14ac:dyDescent="0.25">
      <c r="A9" s="11">
        <v>46144</v>
      </c>
      <c r="B9" s="2">
        <v>0.25</v>
      </c>
      <c r="C9">
        <v>62</v>
      </c>
      <c r="D9">
        <v>78400</v>
      </c>
      <c r="E9" t="s">
        <v>14</v>
      </c>
      <c r="F9">
        <v>0</v>
      </c>
      <c r="G9">
        <v>0</v>
      </c>
      <c r="H9">
        <v>0</v>
      </c>
      <c r="I9">
        <v>0</v>
      </c>
      <c r="J9">
        <v>0</v>
      </c>
      <c r="K9" s="8">
        <v>46220</v>
      </c>
      <c r="L9" s="2">
        <v>0.40069444444444446</v>
      </c>
      <c r="M9">
        <v>65</v>
      </c>
      <c r="N9">
        <v>63570</v>
      </c>
      <c r="O9" t="s">
        <v>15</v>
      </c>
      <c r="P9">
        <v>64593.23</v>
      </c>
      <c r="Q9">
        <v>61523.53</v>
      </c>
      <c r="R9">
        <v>64242.37</v>
      </c>
      <c r="S9">
        <v>61924.22</v>
      </c>
    </row>
    <row r="10" spans="1:19" ht="15" customHeight="1" x14ac:dyDescent="0.25">
      <c r="A10" s="11">
        <v>46144</v>
      </c>
      <c r="B10" s="2">
        <v>0.41666666666666669</v>
      </c>
      <c r="C10">
        <v>62</v>
      </c>
      <c r="D10">
        <v>78220</v>
      </c>
      <c r="E10" t="s">
        <v>14</v>
      </c>
      <c r="F10">
        <v>0</v>
      </c>
      <c r="G10">
        <v>0</v>
      </c>
      <c r="H10">
        <v>0</v>
      </c>
      <c r="I10">
        <v>0</v>
      </c>
      <c r="J10">
        <v>0</v>
      </c>
      <c r="K10" s="8">
        <v>46220</v>
      </c>
      <c r="L10" s="2">
        <v>0.50138888888888888</v>
      </c>
      <c r="M10">
        <v>64</v>
      </c>
      <c r="N10">
        <v>62828.11</v>
      </c>
      <c r="O10" t="s">
        <v>15</v>
      </c>
      <c r="P10">
        <v>63832.81</v>
      </c>
      <c r="Q10">
        <v>60818.71</v>
      </c>
      <c r="R10">
        <v>65788.88</v>
      </c>
      <c r="S10">
        <v>62547.46</v>
      </c>
    </row>
    <row r="11" spans="1:19" ht="15" customHeight="1" x14ac:dyDescent="0.25">
      <c r="A11" s="11">
        <v>46144</v>
      </c>
      <c r="B11" s="2">
        <v>0.58333333333333337</v>
      </c>
      <c r="C11">
        <v>65</v>
      </c>
      <c r="D11">
        <v>78143.08</v>
      </c>
      <c r="E11" t="s">
        <v>12</v>
      </c>
      <c r="F11">
        <v>77574.039999999994</v>
      </c>
      <c r="G11" s="4">
        <v>78823.33</v>
      </c>
      <c r="H11">
        <v>0</v>
      </c>
      <c r="I11" s="4" t="s">
        <v>13</v>
      </c>
      <c r="J11">
        <v>0</v>
      </c>
      <c r="K11" s="8">
        <v>46220</v>
      </c>
      <c r="L11" s="2">
        <v>0.59305555555555556</v>
      </c>
      <c r="M11">
        <v>65</v>
      </c>
      <c r="N11">
        <v>63298.01</v>
      </c>
      <c r="O11" t="s">
        <v>15</v>
      </c>
      <c r="P11">
        <v>64257.03</v>
      </c>
      <c r="Q11">
        <v>61379.97</v>
      </c>
      <c r="R11">
        <v>63730.3</v>
      </c>
      <c r="S11">
        <v>61917.99</v>
      </c>
    </row>
    <row r="12" spans="1:19" ht="15" customHeight="1" x14ac:dyDescent="0.25">
      <c r="A12" s="11">
        <v>46144</v>
      </c>
      <c r="B12" s="2">
        <v>0.75</v>
      </c>
      <c r="C12">
        <v>65</v>
      </c>
      <c r="D12">
        <v>78487.67</v>
      </c>
      <c r="E12" t="s">
        <v>12</v>
      </c>
      <c r="F12">
        <v>77983.64</v>
      </c>
      <c r="G12" s="4">
        <v>78664.17</v>
      </c>
      <c r="H12">
        <v>0</v>
      </c>
      <c r="I12" s="4" t="s">
        <v>13</v>
      </c>
      <c r="J12">
        <v>0</v>
      </c>
      <c r="K12" s="8"/>
    </row>
    <row r="13" spans="1:19" ht="15" customHeight="1" x14ac:dyDescent="0.25">
      <c r="A13" s="11">
        <v>46144</v>
      </c>
      <c r="B13" s="2">
        <v>0.91666666666666663</v>
      </c>
      <c r="C13">
        <v>63</v>
      </c>
      <c r="D13">
        <v>78486</v>
      </c>
      <c r="E13" t="s">
        <v>12</v>
      </c>
      <c r="F13">
        <v>77987.210000000006</v>
      </c>
      <c r="G13" s="4">
        <v>78848.070000000007</v>
      </c>
      <c r="H13">
        <v>0</v>
      </c>
      <c r="I13" s="4" t="s">
        <v>16</v>
      </c>
      <c r="J13">
        <v>0</v>
      </c>
      <c r="K13" s="17"/>
    </row>
    <row r="14" spans="1:19" ht="15" customHeight="1" x14ac:dyDescent="0.25">
      <c r="A14" s="11">
        <v>46145</v>
      </c>
      <c r="B14" s="2">
        <v>1.0833333333333299</v>
      </c>
      <c r="C14">
        <v>63</v>
      </c>
      <c r="D14">
        <v>78686.850000000006</v>
      </c>
      <c r="E14" t="s">
        <v>12</v>
      </c>
      <c r="F14">
        <v>77984.09</v>
      </c>
      <c r="G14" s="4">
        <v>79080.89</v>
      </c>
      <c r="H14">
        <v>0</v>
      </c>
      <c r="I14" s="4" t="s">
        <v>16</v>
      </c>
      <c r="J14">
        <v>0</v>
      </c>
    </row>
    <row r="15" spans="1:19" ht="15" customHeight="1" x14ac:dyDescent="0.25">
      <c r="A15" s="11">
        <v>46145</v>
      </c>
      <c r="B15" s="2">
        <v>1.25</v>
      </c>
      <c r="C15">
        <v>65</v>
      </c>
      <c r="D15">
        <v>78203.08</v>
      </c>
      <c r="E15" t="s">
        <v>12</v>
      </c>
      <c r="F15">
        <v>77697.53</v>
      </c>
      <c r="G15" s="4">
        <v>79111.360000000001</v>
      </c>
      <c r="H15">
        <v>0</v>
      </c>
      <c r="I15" s="4" t="s">
        <v>13</v>
      </c>
      <c r="J15">
        <v>0</v>
      </c>
      <c r="K15" s="8">
        <v>46221</v>
      </c>
      <c r="L15" s="2">
        <v>0.66388888888888886</v>
      </c>
      <c r="M15">
        <v>47</v>
      </c>
      <c r="N15">
        <v>63298.01</v>
      </c>
      <c r="O15" t="s">
        <v>12</v>
      </c>
      <c r="P15">
        <v>62418.45</v>
      </c>
      <c r="Q15">
        <v>65057.13</v>
      </c>
      <c r="R15">
        <v>62353.42</v>
      </c>
      <c r="S15">
        <v>64277.35</v>
      </c>
    </row>
    <row r="16" spans="1:19" ht="15" customHeight="1" x14ac:dyDescent="0.25">
      <c r="A16" s="11">
        <v>46145</v>
      </c>
      <c r="B16" s="2">
        <v>1.4166666666666601</v>
      </c>
      <c r="C16">
        <v>65</v>
      </c>
      <c r="D16">
        <v>78363.25</v>
      </c>
      <c r="E16" t="s">
        <v>12</v>
      </c>
      <c r="F16">
        <v>77878.48</v>
      </c>
      <c r="G16" s="4">
        <v>79110.98</v>
      </c>
      <c r="H16">
        <v>0</v>
      </c>
      <c r="I16" s="4" t="s">
        <v>16</v>
      </c>
      <c r="J16">
        <v>0</v>
      </c>
      <c r="K16" s="8">
        <v>46223</v>
      </c>
      <c r="L16" s="2">
        <v>0.39583333333333331</v>
      </c>
      <c r="M16">
        <v>67</v>
      </c>
      <c r="N16">
        <v>64869.8</v>
      </c>
      <c r="O16" t="s">
        <v>12</v>
      </c>
      <c r="P16">
        <v>64256.03</v>
      </c>
      <c r="Q16">
        <v>66097.34</v>
      </c>
      <c r="R16">
        <v>64220.04</v>
      </c>
      <c r="S16">
        <v>65073.07</v>
      </c>
    </row>
    <row r="17" spans="1:19" ht="15" customHeight="1" x14ac:dyDescent="0.25">
      <c r="A17" s="11">
        <v>46145</v>
      </c>
      <c r="B17" s="2">
        <v>1.5833333333333299</v>
      </c>
      <c r="C17">
        <v>65</v>
      </c>
      <c r="D17">
        <v>78656.009999999995</v>
      </c>
      <c r="E17" t="s">
        <v>12</v>
      </c>
      <c r="F17">
        <v>77991.34</v>
      </c>
      <c r="G17" s="4">
        <v>79092.88</v>
      </c>
      <c r="H17">
        <v>0</v>
      </c>
      <c r="I17" s="4" t="s">
        <v>13</v>
      </c>
      <c r="J17">
        <v>0</v>
      </c>
      <c r="K17" s="8">
        <v>46223</v>
      </c>
      <c r="L17" s="2">
        <v>0.44444444444444442</v>
      </c>
      <c r="M17">
        <v>68</v>
      </c>
      <c r="N17">
        <v>64280.01</v>
      </c>
      <c r="O17" t="s">
        <v>12</v>
      </c>
      <c r="P17">
        <v>63547.31</v>
      </c>
      <c r="Q17">
        <v>65745.42</v>
      </c>
      <c r="R17">
        <v>63612.25</v>
      </c>
      <c r="S17">
        <v>64862.55</v>
      </c>
    </row>
    <row r="18" spans="1:19" ht="15" customHeight="1" x14ac:dyDescent="0.25">
      <c r="A18" s="11">
        <v>46145</v>
      </c>
      <c r="B18" s="2">
        <v>1.75</v>
      </c>
      <c r="C18">
        <v>65</v>
      </c>
      <c r="D18">
        <v>78668.36</v>
      </c>
      <c r="E18" t="s">
        <v>12</v>
      </c>
      <c r="F18">
        <v>77974.63</v>
      </c>
      <c r="G18" s="4">
        <v>78858.89</v>
      </c>
      <c r="H18">
        <v>0</v>
      </c>
      <c r="I18" s="4" t="s">
        <v>13</v>
      </c>
      <c r="J18">
        <v>0</v>
      </c>
      <c r="K18" s="8">
        <v>46223</v>
      </c>
      <c r="L18" s="2">
        <v>0.7006944444444444</v>
      </c>
      <c r="M18">
        <v>64</v>
      </c>
      <c r="N18">
        <v>65002.01</v>
      </c>
      <c r="O18" t="s">
        <v>12</v>
      </c>
      <c r="P18">
        <v>64104.58</v>
      </c>
      <c r="Q18">
        <v>66796.87</v>
      </c>
      <c r="R18" t="s">
        <v>17</v>
      </c>
      <c r="S18" t="s">
        <v>17</v>
      </c>
    </row>
    <row r="19" spans="1:19" ht="15" customHeight="1" x14ac:dyDescent="0.25">
      <c r="A19" s="11">
        <v>46145</v>
      </c>
      <c r="B19" s="2">
        <v>1.9166666666666601</v>
      </c>
      <c r="C19">
        <v>65</v>
      </c>
      <c r="D19">
        <v>78760.320000000007</v>
      </c>
      <c r="E19" t="s">
        <v>12</v>
      </c>
      <c r="F19">
        <v>77993.820000000007</v>
      </c>
      <c r="G19" s="4">
        <v>79098.27</v>
      </c>
      <c r="H19">
        <v>0</v>
      </c>
      <c r="I19" s="4" t="s">
        <v>16</v>
      </c>
      <c r="J19">
        <v>0</v>
      </c>
    </row>
    <row r="20" spans="1:19" ht="15" customHeight="1" x14ac:dyDescent="0.25">
      <c r="A20" s="11">
        <v>46146</v>
      </c>
      <c r="B20" s="2">
        <v>2.0833333333333499</v>
      </c>
      <c r="C20">
        <v>70</v>
      </c>
      <c r="D20">
        <v>78568.570000000007</v>
      </c>
      <c r="E20" t="s">
        <v>12</v>
      </c>
      <c r="F20">
        <v>77913.649999999994</v>
      </c>
      <c r="G20" s="4">
        <v>79370.789999999994</v>
      </c>
      <c r="H20">
        <v>0</v>
      </c>
      <c r="I20" s="4" t="s">
        <v>13</v>
      </c>
      <c r="J20">
        <v>0</v>
      </c>
    </row>
    <row r="21" spans="1:19" ht="15" customHeight="1" x14ac:dyDescent="0.25">
      <c r="A21" s="11">
        <v>46146</v>
      </c>
      <c r="B21" s="2">
        <v>2.25000000000002</v>
      </c>
      <c r="C21">
        <v>66</v>
      </c>
      <c r="D21">
        <v>80316.31</v>
      </c>
      <c r="E21" t="s">
        <v>12</v>
      </c>
      <c r="F21" s="14">
        <v>77914.23</v>
      </c>
      <c r="G21" s="12" t="s">
        <v>17</v>
      </c>
      <c r="H21">
        <v>0</v>
      </c>
      <c r="I21">
        <v>0</v>
      </c>
      <c r="J21">
        <v>0</v>
      </c>
      <c r="L21" s="18" t="s">
        <v>18</v>
      </c>
      <c r="M21" t="s">
        <v>19</v>
      </c>
    </row>
    <row r="22" spans="1:19" ht="15" customHeight="1" x14ac:dyDescent="0.25">
      <c r="A22" s="11">
        <v>46146</v>
      </c>
      <c r="B22" s="2">
        <v>2.4166666666666901</v>
      </c>
      <c r="C22">
        <v>73</v>
      </c>
      <c r="D22">
        <v>79696.75</v>
      </c>
      <c r="E22" t="s">
        <v>12</v>
      </c>
      <c r="F22">
        <v>79270.789999999994</v>
      </c>
      <c r="G22" s="4">
        <v>80543.039999999994</v>
      </c>
      <c r="H22">
        <v>0</v>
      </c>
      <c r="I22" t="s">
        <v>13</v>
      </c>
      <c r="J22">
        <v>0</v>
      </c>
      <c r="L22">
        <f>COUNTIF(I:I, "Z") / (COUNTIF(I:I, "Z") + COUNTIF(J:J, "S"))</f>
        <v>0.66666666666666663</v>
      </c>
      <c r="M22" t="e">
        <f>COUNTIF(#REF!, "Z") / (COUNTIF(#REF!, "Z") + COUNTIF(#REF!, "S"))</f>
        <v>#REF!</v>
      </c>
    </row>
    <row r="23" spans="1:19" ht="15" customHeight="1" x14ac:dyDescent="0.25">
      <c r="A23" s="11">
        <v>46146</v>
      </c>
      <c r="B23" s="2">
        <v>2.5833333333333601</v>
      </c>
      <c r="C23">
        <v>65</v>
      </c>
      <c r="D23">
        <v>78793.67</v>
      </c>
      <c r="E23" t="s">
        <v>12</v>
      </c>
      <c r="F23">
        <v>77935.039999999994</v>
      </c>
      <c r="G23" s="4">
        <v>80528.7</v>
      </c>
      <c r="H23">
        <v>0</v>
      </c>
      <c r="I23" t="s">
        <v>13</v>
      </c>
      <c r="J23">
        <v>0</v>
      </c>
    </row>
    <row r="24" spans="1:19" ht="15" customHeight="1" x14ac:dyDescent="0.25">
      <c r="A24" s="11">
        <v>46146</v>
      </c>
      <c r="B24" s="2">
        <v>2.7500000000000302</v>
      </c>
      <c r="C24">
        <v>69</v>
      </c>
      <c r="D24">
        <v>80028.850000000006</v>
      </c>
      <c r="E24" t="s">
        <v>12</v>
      </c>
      <c r="F24">
        <v>77844.12</v>
      </c>
      <c r="G24" s="4">
        <v>80499.86</v>
      </c>
      <c r="H24">
        <v>0</v>
      </c>
      <c r="I24" t="s">
        <v>13</v>
      </c>
      <c r="J24">
        <v>0</v>
      </c>
    </row>
    <row r="25" spans="1:19" ht="15" customHeight="1" x14ac:dyDescent="0.25">
      <c r="A25" s="11">
        <v>46146</v>
      </c>
      <c r="B25" s="2">
        <v>2.9166666666666998</v>
      </c>
      <c r="C25">
        <v>69</v>
      </c>
      <c r="D25">
        <v>80053.31</v>
      </c>
      <c r="E25" t="s">
        <v>12</v>
      </c>
      <c r="F25" s="14">
        <v>79292.75</v>
      </c>
      <c r="G25" s="4">
        <v>80644.259999999995</v>
      </c>
      <c r="H25" s="14">
        <v>0</v>
      </c>
      <c r="I25" t="s">
        <v>13</v>
      </c>
      <c r="J25">
        <v>0</v>
      </c>
    </row>
    <row r="26" spans="1:19" ht="15" customHeight="1" x14ac:dyDescent="0.25">
      <c r="A26" s="11">
        <v>46147</v>
      </c>
      <c r="B26" s="2">
        <v>3.0833333333333699</v>
      </c>
      <c r="C26">
        <v>68</v>
      </c>
      <c r="D26">
        <v>79861.009999999995</v>
      </c>
      <c r="E26" t="s">
        <v>12</v>
      </c>
      <c r="F26" s="14">
        <v>77880.289999999994</v>
      </c>
      <c r="G26" s="4">
        <v>80314.429999999993</v>
      </c>
      <c r="H26" s="14">
        <v>0</v>
      </c>
      <c r="I26" t="s">
        <v>13</v>
      </c>
      <c r="J26">
        <v>0</v>
      </c>
    </row>
    <row r="27" spans="1:19" ht="15" customHeight="1" x14ac:dyDescent="0.25">
      <c r="A27" s="11">
        <v>46147</v>
      </c>
      <c r="B27" s="2">
        <v>3.25000000000004</v>
      </c>
      <c r="C27">
        <v>70</v>
      </c>
      <c r="D27">
        <v>80893.08</v>
      </c>
      <c r="E27" t="s">
        <v>12</v>
      </c>
      <c r="F27" s="14">
        <v>77860.37</v>
      </c>
      <c r="G27" s="12" t="s">
        <v>17</v>
      </c>
      <c r="H27">
        <v>0</v>
      </c>
      <c r="I27">
        <v>0</v>
      </c>
      <c r="J27">
        <v>0</v>
      </c>
    </row>
    <row r="28" spans="1:19" ht="15" customHeight="1" x14ac:dyDescent="0.25">
      <c r="A28" s="11">
        <v>46147</v>
      </c>
      <c r="B28" s="2">
        <v>3.41666666666671</v>
      </c>
      <c r="C28">
        <v>70</v>
      </c>
      <c r="D28">
        <v>80855.59</v>
      </c>
      <c r="E28" t="s">
        <v>12</v>
      </c>
      <c r="F28" s="14">
        <v>77864.05</v>
      </c>
      <c r="G28" s="4">
        <v>81161.929999999993</v>
      </c>
      <c r="H28">
        <v>0</v>
      </c>
      <c r="I28" t="s">
        <v>13</v>
      </c>
      <c r="J28">
        <v>0</v>
      </c>
    </row>
    <row r="29" spans="1:19" ht="15" customHeight="1" x14ac:dyDescent="0.25">
      <c r="A29" s="11">
        <v>46147</v>
      </c>
      <c r="B29" s="2">
        <v>3.5833333333333801</v>
      </c>
      <c r="C29">
        <v>70</v>
      </c>
      <c r="D29">
        <v>81014.05</v>
      </c>
      <c r="E29" t="s">
        <v>12</v>
      </c>
      <c r="F29" s="14">
        <v>80172.58</v>
      </c>
      <c r="G29" s="4">
        <v>81204.899999999994</v>
      </c>
      <c r="H29">
        <v>0</v>
      </c>
      <c r="I29" t="s">
        <v>13</v>
      </c>
      <c r="J29">
        <v>0</v>
      </c>
    </row>
    <row r="30" spans="1:19" ht="15" customHeight="1" x14ac:dyDescent="0.25">
      <c r="A30" s="11">
        <v>46147</v>
      </c>
      <c r="B30" s="2">
        <v>3.7500000000000502</v>
      </c>
      <c r="C30">
        <v>73</v>
      </c>
      <c r="D30">
        <v>81525.19</v>
      </c>
      <c r="E30" t="s">
        <v>12</v>
      </c>
      <c r="F30" s="14">
        <v>80664.92</v>
      </c>
      <c r="G30" t="s">
        <v>17</v>
      </c>
      <c r="H30">
        <v>0</v>
      </c>
      <c r="I30">
        <v>0</v>
      </c>
      <c r="J30">
        <v>0</v>
      </c>
    </row>
    <row r="31" spans="1:19" ht="15" customHeight="1" x14ac:dyDescent="0.25">
      <c r="A31" s="11">
        <v>46147</v>
      </c>
      <c r="B31" s="2">
        <v>0.91666666666666663</v>
      </c>
      <c r="C31">
        <v>68</v>
      </c>
      <c r="D31">
        <v>81606.350000000006</v>
      </c>
      <c r="E31" t="s">
        <v>12</v>
      </c>
      <c r="F31" s="14">
        <v>80762.2</v>
      </c>
      <c r="G31" t="s">
        <v>17</v>
      </c>
      <c r="H31">
        <v>0</v>
      </c>
      <c r="I31">
        <v>0</v>
      </c>
      <c r="J31">
        <v>0</v>
      </c>
    </row>
    <row r="32" spans="1:19" ht="15" customHeight="1" x14ac:dyDescent="0.25">
      <c r="A32" s="11">
        <v>46148</v>
      </c>
      <c r="B32" s="2">
        <v>3.0833333333333699</v>
      </c>
      <c r="C32">
        <v>70</v>
      </c>
      <c r="D32">
        <v>80905.52</v>
      </c>
      <c r="E32" t="s">
        <v>12</v>
      </c>
      <c r="F32" s="14">
        <v>80306.78</v>
      </c>
      <c r="G32" s="4">
        <v>81635.61</v>
      </c>
      <c r="H32">
        <v>0</v>
      </c>
      <c r="I32" t="s">
        <v>13</v>
      </c>
      <c r="J32">
        <v>0</v>
      </c>
    </row>
    <row r="33" spans="1:10" ht="15" customHeight="1" x14ac:dyDescent="0.25">
      <c r="A33" s="11">
        <v>46148</v>
      </c>
      <c r="B33" s="2">
        <v>3.25000000000004</v>
      </c>
      <c r="C33">
        <v>70</v>
      </c>
      <c r="D33">
        <v>81581.69</v>
      </c>
      <c r="E33" t="s">
        <v>12</v>
      </c>
      <c r="F33" s="14">
        <v>80318.61</v>
      </c>
      <c r="G33" t="s">
        <v>17</v>
      </c>
      <c r="H33">
        <v>0</v>
      </c>
      <c r="I33">
        <v>0</v>
      </c>
      <c r="J33">
        <v>0</v>
      </c>
    </row>
    <row r="34" spans="1:10" ht="15" customHeight="1" x14ac:dyDescent="0.25">
      <c r="A34" s="11">
        <v>46148</v>
      </c>
      <c r="B34" s="2">
        <v>3.41666666666671</v>
      </c>
      <c r="C34">
        <v>68</v>
      </c>
      <c r="D34">
        <v>81359.820000000007</v>
      </c>
      <c r="E34" t="s">
        <v>12</v>
      </c>
      <c r="F34" s="14">
        <v>80740.600000000006</v>
      </c>
      <c r="G34" s="4">
        <v>81576.960000000006</v>
      </c>
      <c r="H34">
        <v>0</v>
      </c>
      <c r="I34" t="s">
        <v>13</v>
      </c>
      <c r="J34">
        <v>0</v>
      </c>
    </row>
    <row r="35" spans="1:10" ht="15" customHeight="1" x14ac:dyDescent="0.25">
      <c r="A35" s="11">
        <v>46148</v>
      </c>
      <c r="B35" s="2">
        <v>3.5833333333333801</v>
      </c>
      <c r="C35">
        <v>69</v>
      </c>
      <c r="D35">
        <v>82522.89</v>
      </c>
      <c r="E35" t="s">
        <v>12</v>
      </c>
      <c r="F35" s="13">
        <v>80386.98</v>
      </c>
      <c r="G35">
        <v>82726.759999999995</v>
      </c>
      <c r="H35">
        <v>0</v>
      </c>
      <c r="I35">
        <v>0</v>
      </c>
      <c r="J35" t="s">
        <v>20</v>
      </c>
    </row>
    <row r="36" spans="1:10" ht="15" customHeight="1" x14ac:dyDescent="0.25">
      <c r="A36" s="11">
        <v>46148</v>
      </c>
      <c r="B36" s="2">
        <v>3.7500000000000502</v>
      </c>
      <c r="C36">
        <v>70</v>
      </c>
      <c r="D36">
        <v>81704.25</v>
      </c>
      <c r="E36" t="s">
        <v>12</v>
      </c>
      <c r="F36" s="13">
        <v>80381.58</v>
      </c>
      <c r="G36">
        <v>82694.31</v>
      </c>
      <c r="H36">
        <v>0</v>
      </c>
      <c r="I36">
        <v>0</v>
      </c>
      <c r="J36" t="s">
        <v>20</v>
      </c>
    </row>
    <row r="37" spans="1:10" ht="15" customHeight="1" x14ac:dyDescent="0.25">
      <c r="A37" s="11">
        <v>46148</v>
      </c>
      <c r="B37" s="2">
        <v>0.91666666666666663</v>
      </c>
      <c r="C37">
        <v>68</v>
      </c>
      <c r="D37">
        <v>81464.87</v>
      </c>
      <c r="E37" t="s">
        <v>12</v>
      </c>
      <c r="F37" s="13">
        <v>80402.14</v>
      </c>
      <c r="G37">
        <v>82704.92</v>
      </c>
      <c r="H37">
        <v>0</v>
      </c>
      <c r="I37">
        <v>0</v>
      </c>
      <c r="J37" t="s">
        <v>20</v>
      </c>
    </row>
    <row r="38" spans="1:10" ht="15" customHeight="1" x14ac:dyDescent="0.25">
      <c r="A38" s="11">
        <v>46149</v>
      </c>
      <c r="B38" s="2">
        <v>3.0833333333333699</v>
      </c>
      <c r="C38">
        <v>54</v>
      </c>
      <c r="D38">
        <v>81447.009999999995</v>
      </c>
      <c r="E38" t="s">
        <v>12</v>
      </c>
      <c r="F38" s="13">
        <v>80468.12</v>
      </c>
      <c r="G38">
        <v>81666.77</v>
      </c>
      <c r="H38">
        <v>0</v>
      </c>
      <c r="I38">
        <v>0</v>
      </c>
      <c r="J38" t="s">
        <v>20</v>
      </c>
    </row>
    <row r="39" spans="1:10" ht="15" customHeight="1" x14ac:dyDescent="0.25">
      <c r="A39" s="11">
        <v>46149</v>
      </c>
      <c r="B39" s="2">
        <v>3.25000000000004</v>
      </c>
      <c r="C39">
        <v>50</v>
      </c>
      <c r="D39">
        <v>80834.91</v>
      </c>
      <c r="E39" t="s">
        <v>12</v>
      </c>
      <c r="F39" s="13">
        <v>80205.94</v>
      </c>
      <c r="G39">
        <v>81665.55</v>
      </c>
      <c r="H39">
        <v>0</v>
      </c>
      <c r="I39">
        <v>0</v>
      </c>
      <c r="J39" t="s">
        <v>20</v>
      </c>
    </row>
    <row r="40" spans="1:10" ht="15" customHeight="1" x14ac:dyDescent="0.25">
      <c r="A40" s="11">
        <v>46149</v>
      </c>
      <c r="B40" s="2">
        <v>3.41666666666671</v>
      </c>
      <c r="C40">
        <v>54</v>
      </c>
      <c r="D40">
        <v>81518.58</v>
      </c>
      <c r="E40" t="s">
        <v>12</v>
      </c>
      <c r="F40" s="13">
        <v>80432.59</v>
      </c>
      <c r="G40">
        <v>82720.63</v>
      </c>
      <c r="H40">
        <v>0</v>
      </c>
      <c r="I40">
        <v>0</v>
      </c>
      <c r="J40" t="s">
        <v>20</v>
      </c>
    </row>
    <row r="41" spans="1:10" ht="15" customHeight="1" x14ac:dyDescent="0.25">
      <c r="A41" s="11">
        <v>46149</v>
      </c>
      <c r="B41" s="2">
        <v>3.5833333333333801</v>
      </c>
      <c r="C41">
        <v>52</v>
      </c>
      <c r="D41">
        <v>80866.649999999994</v>
      </c>
      <c r="E41" t="s">
        <v>12</v>
      </c>
      <c r="F41" s="14">
        <v>77956.460000000006</v>
      </c>
      <c r="G41" s="4">
        <v>81664.789999999994</v>
      </c>
      <c r="H41">
        <v>0</v>
      </c>
      <c r="I41" t="s">
        <v>13</v>
      </c>
      <c r="J41">
        <v>0</v>
      </c>
    </row>
    <row r="42" spans="1:10" ht="15" customHeight="1" x14ac:dyDescent="0.25">
      <c r="A42" s="11">
        <v>46149</v>
      </c>
      <c r="B42" s="2">
        <v>3.7500000000000502</v>
      </c>
      <c r="C42">
        <v>50</v>
      </c>
      <c r="D42">
        <v>79890.63</v>
      </c>
      <c r="E42" t="s">
        <v>12</v>
      </c>
      <c r="F42">
        <v>77938.69</v>
      </c>
      <c r="G42" s="4">
        <v>81614.05</v>
      </c>
      <c r="H42">
        <v>0</v>
      </c>
      <c r="I42" t="s">
        <v>13</v>
      </c>
      <c r="J42">
        <v>0</v>
      </c>
    </row>
    <row r="43" spans="1:10" ht="15" customHeight="1" x14ac:dyDescent="0.25">
      <c r="A43" s="11">
        <v>46149</v>
      </c>
      <c r="B43" s="2">
        <v>0.91666666666666663</v>
      </c>
      <c r="C43">
        <v>58</v>
      </c>
      <c r="D43">
        <v>80146.11</v>
      </c>
      <c r="E43" t="s">
        <v>12</v>
      </c>
      <c r="F43" s="14">
        <v>79332.639999999999</v>
      </c>
      <c r="G43" s="4">
        <v>81611.95</v>
      </c>
      <c r="H43">
        <v>0</v>
      </c>
      <c r="I43" t="s">
        <v>13</v>
      </c>
      <c r="J43">
        <v>0</v>
      </c>
    </row>
    <row r="44" spans="1:10" ht="15" customHeight="1" x14ac:dyDescent="0.25">
      <c r="A44" s="11">
        <v>46150</v>
      </c>
      <c r="B44" s="2">
        <v>3.0833333333333699</v>
      </c>
      <c r="C44">
        <v>54</v>
      </c>
      <c r="D44">
        <v>80006</v>
      </c>
      <c r="E44" t="s">
        <v>12</v>
      </c>
      <c r="F44" s="14">
        <v>79182.47</v>
      </c>
      <c r="G44" s="4">
        <v>80311.960000000006</v>
      </c>
      <c r="H44">
        <v>0</v>
      </c>
      <c r="I44" t="s">
        <v>13</v>
      </c>
      <c r="J44">
        <v>0</v>
      </c>
    </row>
    <row r="45" spans="1:10" ht="15" customHeight="1" x14ac:dyDescent="0.25">
      <c r="A45" s="11">
        <v>46150</v>
      </c>
      <c r="B45" s="2">
        <v>3.25000000000004</v>
      </c>
      <c r="C45">
        <v>58</v>
      </c>
      <c r="D45">
        <v>79578.850000000006</v>
      </c>
      <c r="E45" t="s">
        <v>12</v>
      </c>
      <c r="F45">
        <v>77927.789999999994</v>
      </c>
      <c r="G45" s="4">
        <v>80058.52</v>
      </c>
      <c r="H45">
        <v>0</v>
      </c>
      <c r="I45" t="s">
        <v>13</v>
      </c>
      <c r="J45">
        <v>0</v>
      </c>
    </row>
    <row r="46" spans="1:10" ht="15" customHeight="1" x14ac:dyDescent="0.25">
      <c r="A46" s="11">
        <v>46150</v>
      </c>
      <c r="B46" s="2">
        <v>3.41666666666671</v>
      </c>
      <c r="C46">
        <v>59</v>
      </c>
      <c r="D46">
        <v>79682.399999999994</v>
      </c>
      <c r="E46" t="s">
        <v>12</v>
      </c>
      <c r="F46">
        <v>78885.279999999999</v>
      </c>
      <c r="G46" s="4">
        <v>80163.42</v>
      </c>
      <c r="H46">
        <v>0</v>
      </c>
      <c r="I46" t="s">
        <v>13</v>
      </c>
      <c r="J46">
        <v>0</v>
      </c>
    </row>
    <row r="47" spans="1:10" ht="15" customHeight="1" x14ac:dyDescent="0.25">
      <c r="A47" s="11">
        <v>46150</v>
      </c>
      <c r="B47" s="2">
        <v>3.5833333333333801</v>
      </c>
      <c r="C47">
        <v>55</v>
      </c>
      <c r="D47">
        <v>80231.22</v>
      </c>
      <c r="E47" t="s">
        <v>12</v>
      </c>
      <c r="F47">
        <v>79392.429999999993</v>
      </c>
      <c r="G47" s="4">
        <v>81617</v>
      </c>
      <c r="H47">
        <v>0</v>
      </c>
      <c r="I47" t="s">
        <v>13</v>
      </c>
      <c r="J47">
        <v>0</v>
      </c>
    </row>
    <row r="48" spans="1:10" ht="15" customHeight="1" x14ac:dyDescent="0.25">
      <c r="A48" s="11">
        <v>46150</v>
      </c>
      <c r="B48" s="2">
        <v>3.7500000000000502</v>
      </c>
      <c r="C48">
        <v>57</v>
      </c>
      <c r="D48">
        <v>80142.14</v>
      </c>
      <c r="E48" t="s">
        <v>12</v>
      </c>
      <c r="F48">
        <v>79285.17</v>
      </c>
      <c r="G48" s="4">
        <v>80413.36</v>
      </c>
      <c r="H48">
        <v>0</v>
      </c>
      <c r="I48" t="s">
        <v>13</v>
      </c>
      <c r="J48">
        <v>0</v>
      </c>
    </row>
    <row r="49" spans="1:10" ht="15" customHeight="1" x14ac:dyDescent="0.25">
      <c r="A49" s="11">
        <v>46150</v>
      </c>
      <c r="B49" s="2">
        <v>0.91666666666666663</v>
      </c>
      <c r="C49">
        <v>57</v>
      </c>
      <c r="D49">
        <v>80179.94</v>
      </c>
      <c r="E49" t="s">
        <v>12</v>
      </c>
      <c r="F49">
        <v>79404.509999999995</v>
      </c>
      <c r="G49" s="4">
        <v>81623.240000000005</v>
      </c>
      <c r="H49">
        <v>0</v>
      </c>
      <c r="I49" t="s">
        <v>13</v>
      </c>
      <c r="J49">
        <v>0</v>
      </c>
    </row>
    <row r="50" spans="1:10" ht="15" customHeight="1" x14ac:dyDescent="0.25">
      <c r="A50" s="11">
        <v>46151</v>
      </c>
      <c r="B50" s="2">
        <v>3.0833333333333699</v>
      </c>
      <c r="C50">
        <v>53</v>
      </c>
      <c r="D50">
        <v>80193.17</v>
      </c>
      <c r="E50" t="s">
        <v>12</v>
      </c>
      <c r="F50">
        <v>79426.34</v>
      </c>
      <c r="G50" s="4">
        <v>80384.600000000006</v>
      </c>
      <c r="H50">
        <v>0</v>
      </c>
      <c r="I50" t="s">
        <v>13</v>
      </c>
      <c r="J50">
        <v>0</v>
      </c>
    </row>
    <row r="51" spans="1:10" ht="15" customHeight="1" x14ac:dyDescent="0.25">
      <c r="A51" s="11">
        <v>46151</v>
      </c>
      <c r="B51" s="2">
        <v>3.25000000000004</v>
      </c>
      <c r="C51">
        <v>49</v>
      </c>
      <c r="D51">
        <v>80383.95</v>
      </c>
      <c r="E51" t="s">
        <v>12</v>
      </c>
      <c r="F51">
        <v>79832.12</v>
      </c>
      <c r="G51" s="4">
        <v>80631.289999999994</v>
      </c>
      <c r="H51">
        <v>0</v>
      </c>
      <c r="I51" t="s">
        <v>13</v>
      </c>
      <c r="J51">
        <v>0</v>
      </c>
    </row>
    <row r="52" spans="1:10" ht="15" customHeight="1" x14ac:dyDescent="0.25">
      <c r="A52" s="11">
        <v>46151</v>
      </c>
      <c r="B52" s="2">
        <v>3.41666666666671</v>
      </c>
      <c r="C52">
        <v>49</v>
      </c>
      <c r="D52">
        <v>80228.89</v>
      </c>
      <c r="E52" t="s">
        <v>12</v>
      </c>
      <c r="F52">
        <v>79435.509999999995</v>
      </c>
      <c r="G52" s="4">
        <v>80633.039999999994</v>
      </c>
      <c r="H52">
        <v>0</v>
      </c>
      <c r="I52" t="s">
        <v>13</v>
      </c>
      <c r="J52">
        <v>0</v>
      </c>
    </row>
    <row r="53" spans="1:10" ht="15" customHeight="1" x14ac:dyDescent="0.25">
      <c r="A53" s="11">
        <v>46151</v>
      </c>
      <c r="B53" s="2">
        <v>3.5833333333333801</v>
      </c>
      <c r="C53">
        <v>49</v>
      </c>
      <c r="D53">
        <v>80345.460000000006</v>
      </c>
      <c r="E53" t="s">
        <v>12</v>
      </c>
      <c r="F53">
        <v>79543.03</v>
      </c>
      <c r="G53" s="4">
        <v>80636.929999999993</v>
      </c>
      <c r="H53">
        <v>0</v>
      </c>
      <c r="I53" t="s">
        <v>13</v>
      </c>
      <c r="J53">
        <v>0</v>
      </c>
    </row>
    <row r="54" spans="1:10" ht="15" customHeight="1" x14ac:dyDescent="0.25">
      <c r="A54" s="11">
        <v>46151</v>
      </c>
      <c r="B54" s="2">
        <v>3.7500000000000502</v>
      </c>
      <c r="C54">
        <v>49</v>
      </c>
      <c r="D54">
        <v>80527.92</v>
      </c>
      <c r="E54" t="s">
        <v>12</v>
      </c>
      <c r="F54">
        <v>79955.47</v>
      </c>
      <c r="G54" s="4">
        <v>81649.53</v>
      </c>
      <c r="H54">
        <v>0</v>
      </c>
      <c r="I54" t="s">
        <v>13</v>
      </c>
      <c r="J54">
        <v>0</v>
      </c>
    </row>
    <row r="55" spans="1:10" ht="15" customHeight="1" x14ac:dyDescent="0.25">
      <c r="A55" s="11">
        <v>46151</v>
      </c>
      <c r="B55" s="2">
        <v>0.91666666666666663</v>
      </c>
      <c r="C55">
        <v>49</v>
      </c>
      <c r="D55">
        <v>80938.53</v>
      </c>
      <c r="E55" t="s">
        <v>12</v>
      </c>
      <c r="F55">
        <v>78995.509999999995</v>
      </c>
      <c r="G55" s="4">
        <v>81612.37</v>
      </c>
      <c r="H55">
        <v>0</v>
      </c>
      <c r="I55" t="s">
        <v>13</v>
      </c>
      <c r="J55">
        <v>0</v>
      </c>
    </row>
    <row r="56" spans="1:10" ht="15" customHeight="1" x14ac:dyDescent="0.25">
      <c r="A56" s="11">
        <v>46152</v>
      </c>
      <c r="B56" s="2">
        <v>3.0833333333333699</v>
      </c>
      <c r="C56">
        <v>43</v>
      </c>
      <c r="D56">
        <v>80678.399999999994</v>
      </c>
      <c r="E56" t="s">
        <v>14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ht="15" customHeight="1" x14ac:dyDescent="0.25">
      <c r="A57" s="11">
        <v>46152</v>
      </c>
      <c r="B57" s="2">
        <v>3.25000000000004</v>
      </c>
      <c r="C57">
        <v>65</v>
      </c>
      <c r="D57">
        <v>80775</v>
      </c>
      <c r="E57" t="s">
        <v>12</v>
      </c>
      <c r="F57">
        <v>80346.63</v>
      </c>
      <c r="G57" s="4">
        <v>81170.87</v>
      </c>
      <c r="H57">
        <v>0</v>
      </c>
      <c r="I57" t="s">
        <v>13</v>
      </c>
      <c r="J57">
        <v>0</v>
      </c>
    </row>
    <row r="58" spans="1:10" ht="15" customHeight="1" x14ac:dyDescent="0.25">
      <c r="A58" s="11">
        <v>46152</v>
      </c>
      <c r="B58" s="2">
        <v>3.41666666666671</v>
      </c>
      <c r="C58">
        <v>61</v>
      </c>
      <c r="D58">
        <v>80736.03</v>
      </c>
      <c r="E58" t="s">
        <v>12</v>
      </c>
      <c r="F58">
        <v>79998.22</v>
      </c>
      <c r="G58" s="4">
        <v>80981.69</v>
      </c>
      <c r="H58">
        <v>0</v>
      </c>
      <c r="I58" t="s">
        <v>13</v>
      </c>
      <c r="J58">
        <v>0</v>
      </c>
    </row>
    <row r="59" spans="1:10" ht="15" customHeight="1" x14ac:dyDescent="0.25">
      <c r="A59" s="11">
        <v>46152</v>
      </c>
      <c r="B59" s="2">
        <v>3.5833333333333801</v>
      </c>
      <c r="C59">
        <v>65</v>
      </c>
      <c r="D59">
        <v>80821.210000000006</v>
      </c>
      <c r="E59" t="s">
        <v>12</v>
      </c>
      <c r="F59">
        <v>80348.06</v>
      </c>
      <c r="G59" s="4">
        <v>81629.919999999998</v>
      </c>
      <c r="H59">
        <v>0</v>
      </c>
      <c r="I59" t="s">
        <v>13</v>
      </c>
      <c r="J59">
        <v>0</v>
      </c>
    </row>
    <row r="60" spans="1:10" ht="15" customHeight="1" x14ac:dyDescent="0.25">
      <c r="A60" s="11">
        <v>46152</v>
      </c>
      <c r="B60" s="2">
        <v>3.7500000000000502</v>
      </c>
      <c r="C60">
        <v>59</v>
      </c>
      <c r="D60">
        <v>81418.009999999995</v>
      </c>
      <c r="E60" t="s">
        <v>12</v>
      </c>
      <c r="F60">
        <v>80580.259999999995</v>
      </c>
      <c r="G60" s="4">
        <v>81623.100000000006</v>
      </c>
      <c r="H60">
        <v>0</v>
      </c>
      <c r="I60" t="s">
        <v>13</v>
      </c>
      <c r="J60">
        <v>0</v>
      </c>
    </row>
    <row r="61" spans="1:10" ht="15" customHeight="1" x14ac:dyDescent="0.25">
      <c r="A61" s="11">
        <v>46152</v>
      </c>
      <c r="B61" s="2">
        <v>0.91666666666666663</v>
      </c>
      <c r="C61">
        <v>63</v>
      </c>
      <c r="D61">
        <v>81437.83</v>
      </c>
      <c r="E61" t="s">
        <v>12</v>
      </c>
      <c r="F61">
        <v>80580.23</v>
      </c>
      <c r="G61" s="4">
        <v>81623.09</v>
      </c>
      <c r="H61">
        <v>0</v>
      </c>
      <c r="I61" t="s">
        <v>13</v>
      </c>
      <c r="J61">
        <v>0</v>
      </c>
    </row>
    <row r="62" spans="1:10" ht="15" customHeight="1" x14ac:dyDescent="0.25">
      <c r="A62" s="11">
        <v>46153</v>
      </c>
      <c r="B62" s="2">
        <v>3.0833333333333699</v>
      </c>
      <c r="C62">
        <v>65</v>
      </c>
      <c r="D62">
        <v>82210.070000000007</v>
      </c>
      <c r="E62" t="s">
        <v>12</v>
      </c>
      <c r="F62" s="14">
        <v>79026.929999999993</v>
      </c>
      <c r="G62" t="s">
        <v>17</v>
      </c>
      <c r="H62">
        <v>0</v>
      </c>
      <c r="I62">
        <v>0</v>
      </c>
      <c r="J62">
        <v>0</v>
      </c>
    </row>
    <row r="63" spans="1:10" ht="15" customHeight="1" x14ac:dyDescent="0.25">
      <c r="A63" s="11">
        <v>46153</v>
      </c>
      <c r="B63" s="2">
        <v>3.25000000000004</v>
      </c>
      <c r="C63">
        <v>65</v>
      </c>
      <c r="D63">
        <v>80736.009999999995</v>
      </c>
      <c r="E63" t="s">
        <v>12</v>
      </c>
      <c r="F63" s="13">
        <v>80023.520000000004</v>
      </c>
      <c r="G63">
        <v>82388.259999999995</v>
      </c>
      <c r="H63">
        <v>0</v>
      </c>
      <c r="I63">
        <v>0</v>
      </c>
      <c r="J63" t="s">
        <v>20</v>
      </c>
    </row>
    <row r="64" spans="1:10" ht="15" customHeight="1" x14ac:dyDescent="0.25">
      <c r="A64" s="11">
        <v>46153</v>
      </c>
      <c r="B64" s="2">
        <v>3.41666666666671</v>
      </c>
      <c r="C64">
        <v>55</v>
      </c>
      <c r="D64">
        <v>80740.399999999994</v>
      </c>
      <c r="E64" t="s">
        <v>14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ht="15" customHeight="1" x14ac:dyDescent="0.25">
      <c r="A65" s="11">
        <v>46153</v>
      </c>
      <c r="B65" s="2">
        <v>3.5833333333333801</v>
      </c>
      <c r="C65">
        <v>68</v>
      </c>
      <c r="D65">
        <v>81196.94</v>
      </c>
      <c r="E65" t="s">
        <v>12</v>
      </c>
      <c r="F65" s="13">
        <v>80435.199999999997</v>
      </c>
      <c r="G65">
        <v>82385.69</v>
      </c>
      <c r="H65">
        <v>0</v>
      </c>
      <c r="I65" t="s">
        <v>20</v>
      </c>
      <c r="J65">
        <v>0</v>
      </c>
    </row>
    <row r="66" spans="1:10" ht="15" customHeight="1" x14ac:dyDescent="0.25">
      <c r="A66" s="11">
        <v>46153</v>
      </c>
      <c r="B66" s="2">
        <v>3.7500000000000502</v>
      </c>
      <c r="C66">
        <v>66</v>
      </c>
      <c r="D66">
        <v>81445.899999999994</v>
      </c>
      <c r="E66" t="s">
        <v>12</v>
      </c>
      <c r="F66" s="13">
        <v>80309.2</v>
      </c>
      <c r="G66">
        <v>82380.88</v>
      </c>
      <c r="H66">
        <v>0</v>
      </c>
      <c r="I66" t="s">
        <v>20</v>
      </c>
      <c r="J66">
        <v>0</v>
      </c>
    </row>
    <row r="67" spans="1:10" ht="15" customHeight="1" x14ac:dyDescent="0.25">
      <c r="A67" s="11">
        <v>46153</v>
      </c>
      <c r="B67" s="2">
        <v>0.91666666666666663</v>
      </c>
      <c r="C67">
        <v>62</v>
      </c>
      <c r="D67">
        <v>81961.990000000005</v>
      </c>
      <c r="E67" t="s">
        <v>12</v>
      </c>
      <c r="F67" s="13">
        <v>80299</v>
      </c>
      <c r="G67" s="14">
        <v>82328.02</v>
      </c>
      <c r="H67">
        <v>0</v>
      </c>
      <c r="I67" t="s">
        <v>20</v>
      </c>
      <c r="J67">
        <v>0</v>
      </c>
    </row>
    <row r="68" spans="1:10" ht="15" customHeight="1" x14ac:dyDescent="0.25">
      <c r="A68" s="11">
        <v>46154</v>
      </c>
      <c r="B68" s="2">
        <v>3.0833333333333699</v>
      </c>
      <c r="C68">
        <v>62</v>
      </c>
      <c r="D68">
        <v>81745.649999999994</v>
      </c>
      <c r="E68" t="s">
        <v>12</v>
      </c>
      <c r="F68" s="13">
        <v>80278.14</v>
      </c>
      <c r="G68">
        <v>81895.08</v>
      </c>
      <c r="H68">
        <v>0</v>
      </c>
      <c r="I68" t="s">
        <v>20</v>
      </c>
      <c r="J68">
        <v>0</v>
      </c>
    </row>
    <row r="69" spans="1:10" ht="15" customHeight="1" x14ac:dyDescent="0.25">
      <c r="A69" s="11">
        <v>46154</v>
      </c>
      <c r="B69" s="2">
        <v>3.25000000000004</v>
      </c>
      <c r="C69">
        <v>66</v>
      </c>
      <c r="D69">
        <v>81058.8</v>
      </c>
      <c r="E69" t="s">
        <v>12</v>
      </c>
      <c r="F69" s="13">
        <v>80066.73</v>
      </c>
      <c r="G69">
        <v>82027.34</v>
      </c>
      <c r="H69">
        <v>0</v>
      </c>
      <c r="I69" t="s">
        <v>20</v>
      </c>
      <c r="J69">
        <v>0</v>
      </c>
    </row>
    <row r="70" spans="1:10" ht="15" customHeight="1" x14ac:dyDescent="0.25">
      <c r="A70" s="11">
        <v>46154</v>
      </c>
      <c r="B70" s="2">
        <v>3.41666666666671</v>
      </c>
      <c r="C70">
        <v>52</v>
      </c>
      <c r="D70">
        <v>80865.399999999994</v>
      </c>
      <c r="E70" t="s">
        <v>12</v>
      </c>
      <c r="F70" s="13">
        <v>80190.3</v>
      </c>
      <c r="G70">
        <v>81188.13</v>
      </c>
      <c r="H70">
        <v>0</v>
      </c>
      <c r="I70" t="s">
        <v>20</v>
      </c>
      <c r="J70">
        <v>0</v>
      </c>
    </row>
    <row r="71" spans="1:10" ht="15" customHeight="1" x14ac:dyDescent="0.25">
      <c r="A71" s="11">
        <v>46154</v>
      </c>
      <c r="B71" s="2">
        <v>3.5833333333333801</v>
      </c>
      <c r="C71">
        <v>58</v>
      </c>
      <c r="D71">
        <v>80784.87</v>
      </c>
      <c r="E71" t="s">
        <v>12</v>
      </c>
      <c r="F71" s="16">
        <v>80075.039999999994</v>
      </c>
      <c r="G71" s="15">
        <v>81236.539999999994</v>
      </c>
      <c r="H71">
        <v>0</v>
      </c>
      <c r="I71" s="13" t="s">
        <v>20</v>
      </c>
      <c r="J71">
        <v>0</v>
      </c>
    </row>
    <row r="72" spans="1:10" ht="15" customHeight="1" x14ac:dyDescent="0.25">
      <c r="A72" s="11">
        <v>46154</v>
      </c>
      <c r="B72" s="2">
        <v>3.7500000000000502</v>
      </c>
      <c r="C72">
        <v>49</v>
      </c>
      <c r="D72">
        <v>81236.539999999994</v>
      </c>
      <c r="E72" t="s">
        <v>14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ht="15" customHeight="1" x14ac:dyDescent="0.25">
      <c r="A73" s="11">
        <v>46154</v>
      </c>
      <c r="B73" s="2">
        <v>0.91666666666666663</v>
      </c>
      <c r="C73">
        <v>58</v>
      </c>
      <c r="D73">
        <v>80834.64</v>
      </c>
      <c r="E73" t="s">
        <v>12</v>
      </c>
      <c r="F73" s="12" t="s">
        <v>17</v>
      </c>
      <c r="G73">
        <v>81272.240000000005</v>
      </c>
      <c r="H73">
        <v>0</v>
      </c>
      <c r="I73">
        <v>0</v>
      </c>
      <c r="J73">
        <v>0</v>
      </c>
    </row>
    <row r="74" spans="1:10" ht="15" customHeight="1" x14ac:dyDescent="0.25">
      <c r="A74" s="11">
        <v>46155</v>
      </c>
      <c r="B74" s="2">
        <v>3.0833333333333699</v>
      </c>
      <c r="C74">
        <v>54</v>
      </c>
      <c r="D74">
        <v>80504.47</v>
      </c>
      <c r="E74" t="s">
        <v>12</v>
      </c>
      <c r="F74">
        <v>79670.990000000005</v>
      </c>
      <c r="G74" s="4">
        <v>80934.34</v>
      </c>
      <c r="H74">
        <v>0</v>
      </c>
      <c r="I74" t="s">
        <v>13</v>
      </c>
      <c r="J74">
        <v>0</v>
      </c>
    </row>
    <row r="75" spans="1:10" ht="15" customHeight="1" x14ac:dyDescent="0.25">
      <c r="A75" s="11">
        <v>46155</v>
      </c>
      <c r="B75" s="2">
        <v>3.25000000000004</v>
      </c>
      <c r="C75">
        <v>41</v>
      </c>
      <c r="D75">
        <v>81249.990000000005</v>
      </c>
      <c r="E75" t="s">
        <v>14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ht="15" customHeight="1" x14ac:dyDescent="0.25">
      <c r="A76" s="11">
        <v>46155</v>
      </c>
      <c r="B76" s="2">
        <v>3.41666666666671</v>
      </c>
      <c r="C76">
        <v>52</v>
      </c>
      <c r="D76">
        <v>81026.92</v>
      </c>
      <c r="E76" t="s">
        <v>12</v>
      </c>
      <c r="F76" s="13">
        <v>80194.429999999993</v>
      </c>
      <c r="G76">
        <v>82025.679999999993</v>
      </c>
      <c r="H76">
        <v>0</v>
      </c>
      <c r="I76">
        <v>0</v>
      </c>
      <c r="J76" t="s">
        <v>20</v>
      </c>
    </row>
    <row r="77" spans="1:10" ht="15" customHeight="1" x14ac:dyDescent="0.25">
      <c r="A77" s="11">
        <v>46155</v>
      </c>
      <c r="B77" s="2">
        <v>3.5833333333333801</v>
      </c>
      <c r="C77">
        <v>47</v>
      </c>
      <c r="D77">
        <v>80501.22</v>
      </c>
      <c r="E77" t="s">
        <v>12</v>
      </c>
      <c r="F77" s="13">
        <v>79666.8</v>
      </c>
      <c r="G77">
        <v>82036.34</v>
      </c>
      <c r="H77">
        <v>0</v>
      </c>
      <c r="I77">
        <v>0</v>
      </c>
      <c r="J77" t="s">
        <v>20</v>
      </c>
    </row>
    <row r="78" spans="1:10" ht="15" customHeight="1" x14ac:dyDescent="0.25">
      <c r="A78" s="11">
        <v>46155</v>
      </c>
      <c r="B78" s="2">
        <v>3.7500000000000502</v>
      </c>
      <c r="C78">
        <v>37</v>
      </c>
      <c r="D78">
        <v>78827.210000000006</v>
      </c>
      <c r="E78" t="s">
        <v>14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ht="15" customHeight="1" x14ac:dyDescent="0.25">
      <c r="A79" s="11">
        <v>46155</v>
      </c>
      <c r="B79" s="2">
        <v>0.91666666666666663</v>
      </c>
      <c r="C79">
        <v>49</v>
      </c>
      <c r="D79">
        <v>79642.41</v>
      </c>
      <c r="E79" t="s">
        <v>14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ht="15" customHeight="1" x14ac:dyDescent="0.25">
      <c r="A80" s="11">
        <v>46156</v>
      </c>
      <c r="B80" s="2">
        <v>3.0833333333333699</v>
      </c>
      <c r="C80">
        <v>40</v>
      </c>
      <c r="D80">
        <v>79313.61</v>
      </c>
      <c r="E80" t="s">
        <v>14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ht="15" customHeight="1" x14ac:dyDescent="0.25">
      <c r="A81" s="11">
        <v>46156</v>
      </c>
      <c r="B81" s="2">
        <v>3.25000000000004</v>
      </c>
      <c r="C81">
        <v>47</v>
      </c>
      <c r="D81">
        <v>79044.850000000006</v>
      </c>
      <c r="E81" t="s">
        <v>14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ht="15" customHeight="1" x14ac:dyDescent="0.25">
      <c r="A82" s="11">
        <v>46156</v>
      </c>
      <c r="B82" s="2">
        <v>3.41666666666671</v>
      </c>
      <c r="C82">
        <v>48</v>
      </c>
      <c r="D82">
        <v>79745.98</v>
      </c>
      <c r="E82" t="s">
        <v>15</v>
      </c>
      <c r="F82" s="13">
        <v>80283.48</v>
      </c>
      <c r="G82">
        <v>78875.12</v>
      </c>
      <c r="H82">
        <v>0</v>
      </c>
      <c r="I82">
        <v>0</v>
      </c>
      <c r="J82" s="15" t="s">
        <v>20</v>
      </c>
    </row>
    <row r="83" spans="1:10" ht="15" customHeight="1" x14ac:dyDescent="0.25">
      <c r="A83" s="11">
        <v>46156</v>
      </c>
      <c r="B83" s="2">
        <v>3.5833333333333801</v>
      </c>
      <c r="C83">
        <v>48</v>
      </c>
      <c r="D83">
        <v>79258.27</v>
      </c>
      <c r="E83" t="s">
        <v>15</v>
      </c>
      <c r="F83" s="13">
        <v>81550.649999999994</v>
      </c>
      <c r="G83">
        <v>78868.94</v>
      </c>
      <c r="H83">
        <v>0</v>
      </c>
      <c r="I83">
        <v>0</v>
      </c>
      <c r="J83" t="s">
        <v>20</v>
      </c>
    </row>
    <row r="84" spans="1:10" ht="15" customHeight="1" x14ac:dyDescent="0.25">
      <c r="A84" s="11">
        <v>46156</v>
      </c>
      <c r="B84" s="2">
        <v>3.7500000000000502</v>
      </c>
      <c r="C84">
        <v>50</v>
      </c>
      <c r="D84">
        <v>81301.23</v>
      </c>
      <c r="E84" t="s">
        <v>14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ht="15" customHeight="1" x14ac:dyDescent="0.25">
      <c r="A85" s="11">
        <v>46156</v>
      </c>
      <c r="B85" s="2">
        <v>0.91666666666666663</v>
      </c>
      <c r="C85">
        <v>68</v>
      </c>
      <c r="D85">
        <v>81419.740000000005</v>
      </c>
      <c r="E85" t="s">
        <v>12</v>
      </c>
      <c r="F85" s="13">
        <v>80781.73</v>
      </c>
      <c r="G85">
        <v>81998.850000000006</v>
      </c>
      <c r="H85">
        <v>0</v>
      </c>
      <c r="I85">
        <v>0</v>
      </c>
      <c r="J85" t="s">
        <v>20</v>
      </c>
    </row>
    <row r="86" spans="1:10" ht="15" customHeight="1" x14ac:dyDescent="0.25">
      <c r="A86" s="11">
        <v>46157</v>
      </c>
      <c r="B86" s="2">
        <v>3.0833333333333699</v>
      </c>
      <c r="C86">
        <v>57</v>
      </c>
      <c r="D86">
        <v>81089.990000000005</v>
      </c>
      <c r="E86" t="s">
        <v>12</v>
      </c>
      <c r="F86" s="13">
        <v>78492.03</v>
      </c>
      <c r="G86">
        <v>81414.5</v>
      </c>
      <c r="H86">
        <v>0</v>
      </c>
      <c r="I86">
        <v>0</v>
      </c>
      <c r="J86" t="s">
        <v>20</v>
      </c>
    </row>
    <row r="87" spans="1:10" ht="15" customHeight="1" x14ac:dyDescent="0.25">
      <c r="A87" s="11">
        <v>46157</v>
      </c>
      <c r="B87" s="2">
        <v>3.25000000000004</v>
      </c>
      <c r="C87">
        <v>63</v>
      </c>
      <c r="D87">
        <v>81059.149999999994</v>
      </c>
      <c r="E87" t="s">
        <v>12</v>
      </c>
      <c r="F87" s="13">
        <v>80489.72</v>
      </c>
      <c r="G87">
        <v>80489.72</v>
      </c>
      <c r="H87">
        <v>0</v>
      </c>
      <c r="I87">
        <v>0</v>
      </c>
      <c r="J87" t="s">
        <v>20</v>
      </c>
    </row>
    <row r="88" spans="1:10" ht="15" customHeight="1" x14ac:dyDescent="0.25">
      <c r="A88" s="11">
        <v>46157</v>
      </c>
      <c r="B88" s="2">
        <v>3.41666666666671</v>
      </c>
      <c r="C88">
        <v>65</v>
      </c>
      <c r="D88">
        <v>80814.880000000005</v>
      </c>
      <c r="E88" t="s">
        <v>12</v>
      </c>
      <c r="F88" s="13">
        <v>79983.08</v>
      </c>
      <c r="G88">
        <v>81969.83</v>
      </c>
      <c r="H88">
        <v>0</v>
      </c>
      <c r="I88">
        <v>0</v>
      </c>
      <c r="J88" t="s">
        <v>20</v>
      </c>
    </row>
    <row r="89" spans="1:10" ht="15" customHeight="1" x14ac:dyDescent="0.25">
      <c r="A89" s="11">
        <v>46157</v>
      </c>
      <c r="B89" s="2">
        <v>3.5833333333333801</v>
      </c>
      <c r="C89">
        <v>61</v>
      </c>
      <c r="D89">
        <v>80628.53</v>
      </c>
      <c r="E89" t="s">
        <v>12</v>
      </c>
      <c r="F89" s="13">
        <v>79991.820000000007</v>
      </c>
      <c r="G89">
        <v>80916.789999999994</v>
      </c>
      <c r="H89">
        <v>0</v>
      </c>
      <c r="I89">
        <v>0</v>
      </c>
      <c r="J89" t="s">
        <v>20</v>
      </c>
    </row>
    <row r="90" spans="1:10" ht="15" customHeight="1" x14ac:dyDescent="0.25">
      <c r="A90" s="11">
        <v>46157</v>
      </c>
      <c r="B90" s="2">
        <v>3.7500000000000502</v>
      </c>
      <c r="C90">
        <v>45</v>
      </c>
      <c r="D90">
        <v>79150.27</v>
      </c>
      <c r="E90" t="s">
        <v>15</v>
      </c>
      <c r="F90">
        <v>82382.789999999994</v>
      </c>
      <c r="G90" s="4">
        <v>78852.41</v>
      </c>
      <c r="H90">
        <v>0</v>
      </c>
      <c r="I90" t="s">
        <v>13</v>
      </c>
      <c r="J90">
        <v>0</v>
      </c>
    </row>
    <row r="91" spans="1:10" ht="15" customHeight="1" x14ac:dyDescent="0.25">
      <c r="A91" s="11">
        <v>46157</v>
      </c>
      <c r="B91" s="2">
        <v>0.91666666666666663</v>
      </c>
      <c r="C91">
        <v>38</v>
      </c>
      <c r="D91">
        <v>79146.5</v>
      </c>
      <c r="E91" t="s">
        <v>15</v>
      </c>
      <c r="F91">
        <v>79933.679999999993</v>
      </c>
      <c r="G91" s="4">
        <v>78789.100000000006</v>
      </c>
      <c r="H91">
        <v>0</v>
      </c>
      <c r="I91" t="s">
        <v>13</v>
      </c>
      <c r="J91">
        <v>0</v>
      </c>
    </row>
    <row r="92" spans="1:10" ht="15" customHeight="1" x14ac:dyDescent="0.25">
      <c r="A92" s="11">
        <v>46158</v>
      </c>
      <c r="B92" s="2">
        <v>3.0833333333333699</v>
      </c>
      <c r="C92">
        <v>42</v>
      </c>
      <c r="D92">
        <v>79113.210000000006</v>
      </c>
      <c r="E92" t="s">
        <v>15</v>
      </c>
      <c r="F92">
        <v>79903.87</v>
      </c>
      <c r="G92" s="4">
        <v>78776.429999999993</v>
      </c>
      <c r="H92">
        <v>0</v>
      </c>
      <c r="I92" t="s">
        <v>13</v>
      </c>
      <c r="J92">
        <v>0</v>
      </c>
    </row>
    <row r="93" spans="1:10" ht="15" customHeight="1" x14ac:dyDescent="0.25">
      <c r="A93" s="11">
        <v>46158</v>
      </c>
      <c r="B93" s="2">
        <v>3.25000000000004</v>
      </c>
      <c r="C93">
        <v>45</v>
      </c>
      <c r="D93">
        <v>79083.179999999993</v>
      </c>
      <c r="E93" t="s">
        <v>15</v>
      </c>
      <c r="F93">
        <v>79887.199999999997</v>
      </c>
      <c r="G93" s="4">
        <v>78767.83</v>
      </c>
      <c r="H93">
        <v>0</v>
      </c>
      <c r="I93" t="s">
        <v>13</v>
      </c>
      <c r="J93">
        <v>0</v>
      </c>
    </row>
    <row r="94" spans="1:10" ht="15" customHeight="1" x14ac:dyDescent="0.25">
      <c r="A94" s="11">
        <v>46158</v>
      </c>
      <c r="B94" s="2">
        <v>3.41666666666671</v>
      </c>
      <c r="C94">
        <v>47</v>
      </c>
      <c r="D94">
        <v>78369.77</v>
      </c>
      <c r="E94" t="s">
        <v>15</v>
      </c>
      <c r="F94">
        <v>78950.64</v>
      </c>
      <c r="G94" s="4">
        <v>78183.240000000005</v>
      </c>
      <c r="H94">
        <v>0</v>
      </c>
      <c r="I94" t="s">
        <v>13</v>
      </c>
      <c r="J94">
        <v>0</v>
      </c>
    </row>
    <row r="95" spans="1:10" ht="15" customHeight="1" x14ac:dyDescent="0.25">
      <c r="A95" s="11">
        <v>46158</v>
      </c>
      <c r="B95" s="2">
        <v>3.5833333333333801</v>
      </c>
      <c r="C95">
        <v>49</v>
      </c>
      <c r="D95">
        <v>78081.710000000006</v>
      </c>
      <c r="E95" t="s">
        <v>15</v>
      </c>
      <c r="F95">
        <v>78700.55</v>
      </c>
      <c r="G95" s="4">
        <v>77739.27</v>
      </c>
      <c r="H95">
        <v>0</v>
      </c>
      <c r="I95" t="s">
        <v>13</v>
      </c>
      <c r="J95">
        <v>0</v>
      </c>
    </row>
    <row r="96" spans="1:10" ht="15" customHeight="1" x14ac:dyDescent="0.25">
      <c r="A96" s="11">
        <v>46158</v>
      </c>
      <c r="B96" s="2">
        <v>3.7500000000000502</v>
      </c>
      <c r="C96">
        <v>47</v>
      </c>
      <c r="D96">
        <v>78238.67</v>
      </c>
      <c r="E96" t="s">
        <v>15</v>
      </c>
      <c r="F96">
        <v>78943.14</v>
      </c>
      <c r="G96" s="4">
        <v>77770.710000000006</v>
      </c>
      <c r="H96">
        <v>0</v>
      </c>
      <c r="I96" t="s">
        <v>13</v>
      </c>
      <c r="J96">
        <v>0</v>
      </c>
    </row>
    <row r="97" spans="1:10" ht="15" customHeight="1" x14ac:dyDescent="0.25">
      <c r="A97" s="11">
        <v>46158</v>
      </c>
      <c r="B97" s="2">
        <v>0.91666666666666663</v>
      </c>
      <c r="C97">
        <v>45</v>
      </c>
      <c r="D97">
        <v>78259.66</v>
      </c>
      <c r="E97" t="s">
        <v>15</v>
      </c>
      <c r="F97">
        <v>78933.91</v>
      </c>
      <c r="G97" s="4">
        <v>77779.28</v>
      </c>
      <c r="H97">
        <v>0</v>
      </c>
      <c r="I97" t="s">
        <v>13</v>
      </c>
      <c r="J97">
        <v>0</v>
      </c>
    </row>
    <row r="98" spans="1:10" ht="15" customHeight="1" x14ac:dyDescent="0.25">
      <c r="A98" s="11">
        <v>46159</v>
      </c>
      <c r="B98" s="2">
        <v>3.0833333333333699</v>
      </c>
      <c r="C98">
        <v>46</v>
      </c>
      <c r="D98">
        <v>78148.05</v>
      </c>
      <c r="E98" t="s">
        <v>15</v>
      </c>
      <c r="F98">
        <v>78642.740000000005</v>
      </c>
      <c r="G98" s="4">
        <v>77715.45</v>
      </c>
      <c r="H98">
        <v>0</v>
      </c>
      <c r="I98" t="s">
        <v>13</v>
      </c>
      <c r="J98">
        <v>0</v>
      </c>
    </row>
    <row r="99" spans="1:10" ht="15" customHeight="1" x14ac:dyDescent="0.25">
      <c r="A99" s="11">
        <v>46159</v>
      </c>
      <c r="B99" s="2">
        <v>3.25000000000004</v>
      </c>
      <c r="C99">
        <v>46</v>
      </c>
      <c r="D99">
        <v>78028.88</v>
      </c>
      <c r="E99" t="s">
        <v>15</v>
      </c>
      <c r="F99">
        <v>78633.759999999995</v>
      </c>
      <c r="G99" s="4">
        <v>77739.81</v>
      </c>
      <c r="H99">
        <v>0</v>
      </c>
      <c r="I99" t="s">
        <v>13</v>
      </c>
      <c r="J99">
        <v>0</v>
      </c>
    </row>
    <row r="100" spans="1:10" ht="15" customHeight="1" x14ac:dyDescent="0.25">
      <c r="A100" s="11">
        <v>46159</v>
      </c>
      <c r="B100" s="2">
        <v>3.41666666666671</v>
      </c>
      <c r="C100">
        <v>44</v>
      </c>
      <c r="D100">
        <v>78180.009999999995</v>
      </c>
      <c r="E100" t="s">
        <v>15</v>
      </c>
      <c r="F100" s="12" t="s">
        <v>17</v>
      </c>
      <c r="G100" s="14">
        <v>77737.63</v>
      </c>
      <c r="H100">
        <v>0</v>
      </c>
      <c r="I100">
        <v>0</v>
      </c>
      <c r="J100">
        <v>0</v>
      </c>
    </row>
    <row r="101" spans="1:10" ht="15" customHeight="1" x14ac:dyDescent="0.25">
      <c r="A101" s="11">
        <v>46159</v>
      </c>
      <c r="B101" s="2">
        <v>3.5833333333333801</v>
      </c>
      <c r="C101">
        <v>44</v>
      </c>
      <c r="D101">
        <v>78415.990000000005</v>
      </c>
      <c r="E101" t="s">
        <v>15</v>
      </c>
      <c r="F101">
        <v>78875.27</v>
      </c>
      <c r="G101" s="4">
        <v>78139.02</v>
      </c>
      <c r="H101">
        <v>0</v>
      </c>
      <c r="I101" t="s">
        <v>13</v>
      </c>
      <c r="J101">
        <v>0</v>
      </c>
    </row>
    <row r="102" spans="1:10" ht="15" customHeight="1" x14ac:dyDescent="0.25">
      <c r="A102" s="11">
        <v>46159</v>
      </c>
      <c r="B102" s="2">
        <v>3.7500000000000502</v>
      </c>
      <c r="C102">
        <v>44</v>
      </c>
      <c r="D102">
        <v>78051.41</v>
      </c>
      <c r="E102" t="s">
        <v>15</v>
      </c>
      <c r="F102">
        <v>76234.33</v>
      </c>
      <c r="G102" s="4">
        <v>78823.81</v>
      </c>
      <c r="H102">
        <v>0</v>
      </c>
      <c r="I102" t="s">
        <v>13</v>
      </c>
      <c r="J102">
        <v>0</v>
      </c>
    </row>
    <row r="103" spans="1:10" ht="15" customHeight="1" x14ac:dyDescent="0.25">
      <c r="A103" s="11">
        <v>46159</v>
      </c>
      <c r="B103" s="2">
        <v>0.91666666666666663</v>
      </c>
      <c r="C103">
        <v>46</v>
      </c>
      <c r="D103">
        <v>78415.3</v>
      </c>
      <c r="E103" t="s">
        <v>15</v>
      </c>
      <c r="F103" s="12" t="s">
        <v>17</v>
      </c>
      <c r="G103" s="14">
        <v>77790.070000000007</v>
      </c>
      <c r="H103">
        <v>0</v>
      </c>
      <c r="I103">
        <v>0</v>
      </c>
      <c r="J103">
        <v>0</v>
      </c>
    </row>
    <row r="104" spans="1:10" ht="15" customHeight="1" x14ac:dyDescent="0.25">
      <c r="A104" s="11">
        <v>46160</v>
      </c>
      <c r="B104" s="2">
        <v>3.0833333333333699</v>
      </c>
      <c r="C104">
        <v>68</v>
      </c>
      <c r="D104">
        <v>77457.67</v>
      </c>
      <c r="E104" t="s">
        <v>15</v>
      </c>
      <c r="F104">
        <v>78798.92</v>
      </c>
      <c r="G104" s="4">
        <v>76822.58</v>
      </c>
      <c r="H104">
        <v>0</v>
      </c>
      <c r="I104" t="s">
        <v>13</v>
      </c>
      <c r="J104">
        <v>0</v>
      </c>
    </row>
    <row r="105" spans="1:10" ht="15" customHeight="1" x14ac:dyDescent="0.25">
      <c r="A105" s="11">
        <v>46160</v>
      </c>
      <c r="B105" s="2">
        <v>3.25000000000004</v>
      </c>
      <c r="C105">
        <v>68</v>
      </c>
      <c r="D105">
        <v>76822.58</v>
      </c>
      <c r="E105" t="s">
        <v>15</v>
      </c>
      <c r="F105">
        <v>77674.649999999994</v>
      </c>
      <c r="G105" t="s">
        <v>17</v>
      </c>
      <c r="H105">
        <v>0</v>
      </c>
      <c r="I105">
        <v>0</v>
      </c>
      <c r="J105">
        <v>0</v>
      </c>
    </row>
    <row r="106" spans="1:10" ht="15" customHeight="1" x14ac:dyDescent="0.25">
      <c r="A106" s="11">
        <v>46160</v>
      </c>
      <c r="B106" s="2">
        <v>3.41666666666671</v>
      </c>
      <c r="C106">
        <v>68</v>
      </c>
      <c r="D106">
        <v>77073.69</v>
      </c>
      <c r="E106" t="s">
        <v>15</v>
      </c>
      <c r="F106">
        <v>77628.69</v>
      </c>
      <c r="G106" s="4">
        <v>76688.03</v>
      </c>
      <c r="H106">
        <v>0</v>
      </c>
      <c r="I106" t="s">
        <v>13</v>
      </c>
      <c r="J106">
        <v>0</v>
      </c>
    </row>
    <row r="107" spans="1:10" ht="15" customHeight="1" x14ac:dyDescent="0.25">
      <c r="A107" s="11">
        <v>46160</v>
      </c>
      <c r="B107" s="2">
        <v>3.5833333333333801</v>
      </c>
      <c r="C107">
        <v>66</v>
      </c>
      <c r="D107">
        <v>77285.83</v>
      </c>
      <c r="E107" t="s">
        <v>15</v>
      </c>
      <c r="F107">
        <v>77881.34</v>
      </c>
      <c r="G107" s="4">
        <v>76739.240000000005</v>
      </c>
      <c r="H107">
        <v>0</v>
      </c>
      <c r="I107" t="s">
        <v>13</v>
      </c>
      <c r="J107">
        <v>0</v>
      </c>
    </row>
    <row r="108" spans="1:10" ht="15" customHeight="1" x14ac:dyDescent="0.25">
      <c r="A108" s="11">
        <v>46160</v>
      </c>
      <c r="B108" s="2">
        <v>3.7500000000000502</v>
      </c>
      <c r="C108">
        <v>68</v>
      </c>
      <c r="D108">
        <v>76409.460000000006</v>
      </c>
      <c r="E108" t="s">
        <v>15</v>
      </c>
      <c r="F108" s="13">
        <v>78832.399999999994</v>
      </c>
      <c r="G108">
        <v>76155.03</v>
      </c>
      <c r="H108">
        <v>0</v>
      </c>
      <c r="I108">
        <v>0</v>
      </c>
      <c r="J108" t="s">
        <v>20</v>
      </c>
    </row>
    <row r="109" spans="1:10" ht="15" customHeight="1" x14ac:dyDescent="0.25">
      <c r="A109" s="11">
        <v>46160</v>
      </c>
      <c r="B109" s="2">
        <v>0.91666666666666663</v>
      </c>
      <c r="C109">
        <v>68</v>
      </c>
      <c r="D109">
        <v>76928</v>
      </c>
      <c r="E109" t="s">
        <v>15</v>
      </c>
      <c r="F109" s="13">
        <v>77923.3</v>
      </c>
      <c r="G109">
        <v>76155.28</v>
      </c>
      <c r="H109">
        <v>0</v>
      </c>
      <c r="I109">
        <v>0</v>
      </c>
      <c r="J109" t="s">
        <v>20</v>
      </c>
    </row>
    <row r="110" spans="1:10" ht="15" customHeight="1" x14ac:dyDescent="0.25">
      <c r="A110" s="11">
        <v>46161</v>
      </c>
      <c r="B110" s="2">
        <v>3.0833333333333699</v>
      </c>
      <c r="C110">
        <v>66</v>
      </c>
      <c r="D110">
        <v>77001.87</v>
      </c>
      <c r="E110" t="s">
        <v>15</v>
      </c>
      <c r="F110">
        <v>78829.789999999994</v>
      </c>
      <c r="G110" s="4">
        <v>76154.350000000006</v>
      </c>
      <c r="H110">
        <v>0</v>
      </c>
      <c r="I110" t="s">
        <v>13</v>
      </c>
      <c r="J110">
        <v>0</v>
      </c>
    </row>
    <row r="111" spans="1:10" ht="15" customHeight="1" x14ac:dyDescent="0.25">
      <c r="A111" s="11">
        <v>46161</v>
      </c>
      <c r="B111" s="2">
        <v>3.25000000000004</v>
      </c>
      <c r="C111">
        <v>66</v>
      </c>
      <c r="D111">
        <v>76787.11</v>
      </c>
      <c r="E111" t="s">
        <v>15</v>
      </c>
      <c r="F111" s="13">
        <v>77934.429999999993</v>
      </c>
      <c r="G111">
        <v>76211.100000000006</v>
      </c>
      <c r="H111">
        <v>0</v>
      </c>
      <c r="I111">
        <v>0</v>
      </c>
      <c r="J111" t="s">
        <v>20</v>
      </c>
    </row>
    <row r="112" spans="1:10" ht="15" customHeight="1" x14ac:dyDescent="0.25">
      <c r="A112" s="11">
        <v>46161</v>
      </c>
      <c r="B112" s="2">
        <v>3.41666666666671</v>
      </c>
      <c r="C112">
        <v>52</v>
      </c>
      <c r="D112">
        <v>77233.69</v>
      </c>
      <c r="E112" t="s">
        <v>15</v>
      </c>
      <c r="F112" s="14">
        <v>77933.09</v>
      </c>
      <c r="G112" s="4">
        <v>76765</v>
      </c>
      <c r="H112">
        <v>0</v>
      </c>
      <c r="I112" t="s">
        <v>13</v>
      </c>
    </row>
    <row r="113" spans="1:10" ht="15" customHeight="1" x14ac:dyDescent="0.25">
      <c r="A113" s="11">
        <v>46161</v>
      </c>
      <c r="B113" s="2">
        <v>3.5833333333333801</v>
      </c>
      <c r="C113">
        <v>52</v>
      </c>
      <c r="D113">
        <v>76714.62</v>
      </c>
      <c r="E113" t="s">
        <v>15</v>
      </c>
      <c r="F113" s="13">
        <v>77583.45</v>
      </c>
      <c r="G113">
        <v>76217.179999999993</v>
      </c>
      <c r="H113">
        <v>0</v>
      </c>
      <c r="I113">
        <v>0</v>
      </c>
      <c r="J113" t="s">
        <v>20</v>
      </c>
    </row>
    <row r="114" spans="1:10" ht="15" customHeight="1" x14ac:dyDescent="0.25">
      <c r="A114" s="11">
        <v>46161</v>
      </c>
      <c r="B114" s="2">
        <v>3.7500000000000502</v>
      </c>
      <c r="C114">
        <v>57</v>
      </c>
      <c r="D114">
        <v>76521.23</v>
      </c>
      <c r="E114" t="s">
        <v>15</v>
      </c>
      <c r="F114" s="13">
        <v>77652.509999999995</v>
      </c>
      <c r="G114">
        <v>76143.14</v>
      </c>
      <c r="H114">
        <v>0</v>
      </c>
      <c r="I114">
        <v>0</v>
      </c>
      <c r="J114" t="s">
        <v>20</v>
      </c>
    </row>
    <row r="115" spans="1:10" ht="15" customHeight="1" x14ac:dyDescent="0.25">
      <c r="A115" s="11">
        <v>46161</v>
      </c>
      <c r="B115" s="2">
        <v>0.91666666666666663</v>
      </c>
      <c r="C115">
        <v>50</v>
      </c>
      <c r="D115">
        <v>76818.740000000005</v>
      </c>
      <c r="E115" t="s">
        <v>15</v>
      </c>
      <c r="F115" s="13">
        <v>77647.039999999994</v>
      </c>
      <c r="G115">
        <v>76174.69</v>
      </c>
      <c r="H115">
        <v>0</v>
      </c>
      <c r="I115">
        <v>0</v>
      </c>
      <c r="J115" t="s">
        <v>20</v>
      </c>
    </row>
    <row r="116" spans="1:10" ht="15" customHeight="1" x14ac:dyDescent="0.25">
      <c r="A116" s="11">
        <v>46162</v>
      </c>
      <c r="B116" s="2">
        <v>3.0833333333333699</v>
      </c>
      <c r="C116">
        <v>48</v>
      </c>
      <c r="D116">
        <v>76834.36</v>
      </c>
      <c r="E116" t="s">
        <v>15</v>
      </c>
      <c r="F116" s="13">
        <v>77605.179999999993</v>
      </c>
      <c r="G116">
        <v>76670.55</v>
      </c>
      <c r="H116">
        <v>0</v>
      </c>
      <c r="I116">
        <v>0</v>
      </c>
      <c r="J116" t="s">
        <v>20</v>
      </c>
    </row>
    <row r="117" spans="1:10" ht="15" customHeight="1" x14ac:dyDescent="0.25">
      <c r="A117" s="11">
        <v>46162</v>
      </c>
      <c r="B117" s="2">
        <v>3.25000000000004</v>
      </c>
      <c r="C117">
        <v>50</v>
      </c>
      <c r="D117">
        <v>76723.539999999994</v>
      </c>
      <c r="E117" t="s">
        <v>15</v>
      </c>
      <c r="F117" s="13">
        <v>77586.8</v>
      </c>
      <c r="G117">
        <v>76227.75</v>
      </c>
      <c r="H117">
        <v>0</v>
      </c>
      <c r="I117">
        <v>0</v>
      </c>
      <c r="J117" t="s">
        <v>20</v>
      </c>
    </row>
    <row r="118" spans="1:10" ht="15" customHeight="1" x14ac:dyDescent="0.25">
      <c r="A118" s="11">
        <v>46162</v>
      </c>
      <c r="B118" s="2">
        <v>3.41666666666671</v>
      </c>
      <c r="C118">
        <v>51</v>
      </c>
      <c r="D118">
        <v>77282.64</v>
      </c>
      <c r="E118" t="s">
        <v>15</v>
      </c>
      <c r="F118" s="13">
        <v>77934.19</v>
      </c>
      <c r="G118">
        <v>76858.33</v>
      </c>
      <c r="H118">
        <v>0</v>
      </c>
      <c r="I118">
        <v>0</v>
      </c>
      <c r="J118" t="s">
        <v>20</v>
      </c>
    </row>
    <row r="119" spans="1:10" ht="15" customHeight="1" x14ac:dyDescent="0.25">
      <c r="A119" s="11">
        <v>46162</v>
      </c>
      <c r="B119" s="2">
        <v>3.5833333333333801</v>
      </c>
      <c r="C119">
        <v>49</v>
      </c>
      <c r="D119">
        <v>77382.490000000005</v>
      </c>
      <c r="E119" t="s">
        <v>15</v>
      </c>
      <c r="F119" s="13">
        <v>77927.789999999994</v>
      </c>
      <c r="G119">
        <v>76187.259999999995</v>
      </c>
      <c r="H119">
        <v>0</v>
      </c>
      <c r="I119">
        <v>0</v>
      </c>
      <c r="J119" t="s">
        <v>20</v>
      </c>
    </row>
    <row r="120" spans="1:10" ht="15" customHeight="1" x14ac:dyDescent="0.25">
      <c r="A120" s="11">
        <v>46162</v>
      </c>
      <c r="B120" s="2">
        <v>3.7500000000000502</v>
      </c>
      <c r="C120">
        <v>55</v>
      </c>
      <c r="D120">
        <v>77455.460000000006</v>
      </c>
      <c r="E120" t="s">
        <v>15</v>
      </c>
      <c r="F120">
        <v>78812.72</v>
      </c>
      <c r="G120" s="4">
        <v>77059.759999999995</v>
      </c>
      <c r="H120">
        <v>0</v>
      </c>
      <c r="I120" t="s">
        <v>13</v>
      </c>
      <c r="J120">
        <v>0</v>
      </c>
    </row>
    <row r="121" spans="1:10" ht="15" customHeight="1" x14ac:dyDescent="0.25">
      <c r="A121" s="11">
        <v>46162</v>
      </c>
      <c r="B121" s="2">
        <v>0.91666666666666663</v>
      </c>
      <c r="C121">
        <v>54</v>
      </c>
      <c r="D121">
        <v>77667.490000000005</v>
      </c>
      <c r="E121" t="s">
        <v>15</v>
      </c>
      <c r="F121">
        <v>78811.92</v>
      </c>
      <c r="G121" s="4">
        <v>77513</v>
      </c>
      <c r="H121">
        <v>0</v>
      </c>
      <c r="I121" t="s">
        <v>13</v>
      </c>
      <c r="J121">
        <v>0</v>
      </c>
    </row>
    <row r="122" spans="1:10" ht="15" customHeight="1" x14ac:dyDescent="0.25">
      <c r="A122" s="11">
        <v>46163</v>
      </c>
      <c r="B122" s="2">
        <v>3.0833333333333699</v>
      </c>
      <c r="C122">
        <v>52</v>
      </c>
      <c r="D122">
        <v>77552.23</v>
      </c>
      <c r="E122" t="s">
        <v>15</v>
      </c>
      <c r="F122">
        <v>78025.84</v>
      </c>
      <c r="G122" s="4">
        <v>77346.78</v>
      </c>
      <c r="H122">
        <v>0</v>
      </c>
      <c r="I122" t="s">
        <v>13</v>
      </c>
      <c r="J122">
        <v>0</v>
      </c>
    </row>
    <row r="123" spans="1:10" ht="15" customHeight="1" x14ac:dyDescent="0.25">
      <c r="A123" s="11">
        <v>46163</v>
      </c>
      <c r="B123" s="2">
        <v>3.25000000000004</v>
      </c>
      <c r="C123">
        <v>68</v>
      </c>
      <c r="D123">
        <v>78078.720000000001</v>
      </c>
      <c r="E123" t="s">
        <v>12</v>
      </c>
      <c r="F123" s="13">
        <v>77273.81</v>
      </c>
      <c r="G123">
        <v>78530.320000000007</v>
      </c>
      <c r="H123">
        <v>0</v>
      </c>
      <c r="I123">
        <v>0</v>
      </c>
      <c r="J123" t="s">
        <v>20</v>
      </c>
    </row>
    <row r="124" spans="1:10" ht="15" customHeight="1" x14ac:dyDescent="0.25">
      <c r="A124" s="11">
        <v>46163</v>
      </c>
      <c r="B124" s="2">
        <v>3.41666666666671</v>
      </c>
      <c r="C124">
        <v>62</v>
      </c>
      <c r="D124">
        <v>77889.009999999995</v>
      </c>
      <c r="E124" t="s">
        <v>12</v>
      </c>
      <c r="F124" s="13">
        <v>75893.98</v>
      </c>
      <c r="G124">
        <v>78152.87</v>
      </c>
      <c r="H124">
        <v>0</v>
      </c>
      <c r="I124">
        <v>0</v>
      </c>
      <c r="J124" t="s">
        <v>20</v>
      </c>
    </row>
    <row r="125" spans="1:10" ht="15" customHeight="1" x14ac:dyDescent="0.25">
      <c r="A125" s="11">
        <v>46163</v>
      </c>
      <c r="B125" s="2">
        <v>3.5833333333333801</v>
      </c>
      <c r="C125">
        <v>49</v>
      </c>
      <c r="D125">
        <v>77189.100000000006</v>
      </c>
      <c r="E125" t="s">
        <v>15</v>
      </c>
      <c r="F125">
        <v>78790.78</v>
      </c>
      <c r="G125" s="4">
        <v>76748.44</v>
      </c>
      <c r="H125">
        <v>0</v>
      </c>
      <c r="I125" t="s">
        <v>13</v>
      </c>
      <c r="J125">
        <v>0</v>
      </c>
    </row>
    <row r="126" spans="1:10" ht="15" customHeight="1" x14ac:dyDescent="0.25">
      <c r="A126" s="11">
        <v>46163</v>
      </c>
      <c r="B126" s="2">
        <v>3.7500000000000502</v>
      </c>
      <c r="C126">
        <v>48</v>
      </c>
      <c r="D126">
        <v>77259.460000000006</v>
      </c>
      <c r="E126" t="s">
        <v>15</v>
      </c>
      <c r="F126">
        <v>78741.78</v>
      </c>
      <c r="G126" s="4">
        <v>76848.95</v>
      </c>
      <c r="H126">
        <v>0</v>
      </c>
      <c r="I126" t="s">
        <v>13</v>
      </c>
      <c r="J126">
        <v>0</v>
      </c>
    </row>
    <row r="127" spans="1:10" ht="15" customHeight="1" x14ac:dyDescent="0.25">
      <c r="A127" s="11">
        <v>46163</v>
      </c>
      <c r="B127" s="2">
        <v>0.91666666666666663</v>
      </c>
      <c r="C127">
        <v>51</v>
      </c>
      <c r="D127">
        <v>77690.559999999998</v>
      </c>
      <c r="E127" t="s">
        <v>15</v>
      </c>
      <c r="F127">
        <v>78433.3</v>
      </c>
      <c r="G127" s="4">
        <v>77506.83</v>
      </c>
      <c r="H127">
        <v>0</v>
      </c>
      <c r="I127" t="s">
        <v>13</v>
      </c>
      <c r="J127">
        <v>0</v>
      </c>
    </row>
    <row r="128" spans="1:10" ht="15" customHeight="1" x14ac:dyDescent="0.25">
      <c r="A128" s="11">
        <v>46164</v>
      </c>
      <c r="B128" s="2">
        <v>3.0833333333333699</v>
      </c>
      <c r="C128">
        <v>51</v>
      </c>
      <c r="D128">
        <v>77615.520000000004</v>
      </c>
      <c r="E128" t="s">
        <v>15</v>
      </c>
      <c r="F128">
        <v>78387.37</v>
      </c>
      <c r="G128" s="4">
        <v>76816.149999999994</v>
      </c>
      <c r="H128">
        <v>0</v>
      </c>
      <c r="I128" t="s">
        <v>13</v>
      </c>
      <c r="J128">
        <v>0</v>
      </c>
    </row>
    <row r="129" spans="1:10" ht="15" customHeight="1" x14ac:dyDescent="0.25">
      <c r="A129" s="11">
        <v>46164</v>
      </c>
      <c r="B129" s="2">
        <v>3.25000000000004</v>
      </c>
      <c r="C129">
        <v>61</v>
      </c>
      <c r="D129">
        <v>77779.98</v>
      </c>
      <c r="E129" t="s">
        <v>12</v>
      </c>
      <c r="F129" s="13">
        <v>77066</v>
      </c>
      <c r="G129">
        <v>78130.06</v>
      </c>
      <c r="H129">
        <v>0</v>
      </c>
      <c r="I129">
        <v>0</v>
      </c>
      <c r="J129" t="s">
        <v>20</v>
      </c>
    </row>
    <row r="130" spans="1:10" ht="15" customHeight="1" x14ac:dyDescent="0.25">
      <c r="A130" s="11">
        <v>46164</v>
      </c>
      <c r="B130" s="2">
        <v>3.41666666666671</v>
      </c>
      <c r="C130">
        <v>52</v>
      </c>
      <c r="D130">
        <v>77408.06</v>
      </c>
      <c r="E130" t="s">
        <v>15</v>
      </c>
      <c r="F130" s="14">
        <v>78026.559999999998</v>
      </c>
      <c r="G130" s="4">
        <v>76856.89</v>
      </c>
      <c r="H130">
        <v>0</v>
      </c>
      <c r="I130" t="s">
        <v>13</v>
      </c>
      <c r="J130">
        <v>0</v>
      </c>
    </row>
    <row r="131" spans="1:10" ht="15" customHeight="1" x14ac:dyDescent="0.25">
      <c r="A131" s="11">
        <v>46164</v>
      </c>
      <c r="B131" s="2">
        <v>3.5833333333333801</v>
      </c>
      <c r="C131">
        <v>48</v>
      </c>
      <c r="D131">
        <v>77428.84</v>
      </c>
      <c r="E131" t="s">
        <v>15</v>
      </c>
      <c r="F131">
        <v>78038.2</v>
      </c>
      <c r="G131" s="4">
        <v>77246.58</v>
      </c>
      <c r="H131">
        <v>0</v>
      </c>
      <c r="I131" t="s">
        <v>13</v>
      </c>
      <c r="J131">
        <v>0</v>
      </c>
    </row>
    <row r="132" spans="1:10" ht="15" customHeight="1" x14ac:dyDescent="0.25">
      <c r="A132" s="11">
        <v>46164</v>
      </c>
      <c r="B132" s="2">
        <v>3.7500000000000502</v>
      </c>
      <c r="C132">
        <v>46</v>
      </c>
      <c r="D132">
        <v>76790.59</v>
      </c>
      <c r="E132" t="s">
        <v>15</v>
      </c>
      <c r="F132">
        <v>78068.429999999993</v>
      </c>
      <c r="G132" s="4">
        <v>76230.92</v>
      </c>
      <c r="H132">
        <v>0</v>
      </c>
      <c r="I132" t="s">
        <v>13</v>
      </c>
      <c r="J132">
        <v>0</v>
      </c>
    </row>
    <row r="133" spans="1:10" ht="15" customHeight="1" x14ac:dyDescent="0.25">
      <c r="A133" s="11">
        <v>46164</v>
      </c>
      <c r="B133" s="2">
        <v>0.91666666666666663</v>
      </c>
      <c r="C133">
        <v>53</v>
      </c>
      <c r="D133">
        <v>75860.44</v>
      </c>
      <c r="E133" t="s">
        <v>15</v>
      </c>
      <c r="F133" s="14">
        <v>78088.02</v>
      </c>
      <c r="G133" t="s">
        <v>17</v>
      </c>
      <c r="H133">
        <v>0</v>
      </c>
      <c r="I133">
        <v>0</v>
      </c>
      <c r="J133">
        <v>0</v>
      </c>
    </row>
    <row r="134" spans="1:10" ht="15" customHeight="1" x14ac:dyDescent="0.25">
      <c r="A134" s="11">
        <v>46165</v>
      </c>
      <c r="B134" s="2">
        <v>3.0833333333333699</v>
      </c>
      <c r="C134">
        <v>54</v>
      </c>
      <c r="D134">
        <v>75539.5</v>
      </c>
      <c r="E134" t="s">
        <v>15</v>
      </c>
      <c r="F134" s="14">
        <v>78083.33</v>
      </c>
      <c r="G134" t="s">
        <v>17</v>
      </c>
      <c r="H134">
        <v>0</v>
      </c>
      <c r="I134">
        <v>0</v>
      </c>
      <c r="J134">
        <v>0</v>
      </c>
    </row>
    <row r="135" spans="1:10" ht="15" customHeight="1" x14ac:dyDescent="0.25">
      <c r="A135" s="11">
        <v>46165</v>
      </c>
      <c r="B135" s="2">
        <v>3.25000000000004</v>
      </c>
      <c r="C135">
        <v>68</v>
      </c>
      <c r="D135">
        <v>75635.22</v>
      </c>
      <c r="E135" t="s">
        <v>15</v>
      </c>
      <c r="F135" s="14">
        <v>78078.28</v>
      </c>
      <c r="G135" s="4">
        <v>75344.100000000006</v>
      </c>
      <c r="H135">
        <v>0</v>
      </c>
      <c r="I135" t="s">
        <v>13</v>
      </c>
      <c r="J135">
        <v>0</v>
      </c>
    </row>
    <row r="136" spans="1:10" ht="15" customHeight="1" x14ac:dyDescent="0.25">
      <c r="A136" s="11">
        <v>46165</v>
      </c>
      <c r="B136" s="2">
        <v>3.41666666666671</v>
      </c>
      <c r="C136">
        <v>65</v>
      </c>
      <c r="D136">
        <v>74609.36</v>
      </c>
      <c r="E136" t="s">
        <v>15</v>
      </c>
      <c r="F136" s="14">
        <v>78094.820000000007</v>
      </c>
      <c r="G136" s="4">
        <v>74375.83</v>
      </c>
      <c r="H136">
        <v>0</v>
      </c>
      <c r="I136" t="s">
        <v>13</v>
      </c>
      <c r="J136">
        <v>0</v>
      </c>
    </row>
    <row r="137" spans="1:10" ht="15" customHeight="1" x14ac:dyDescent="0.25">
      <c r="A137" s="11">
        <v>46165</v>
      </c>
      <c r="B137" s="2">
        <v>3.5833333333333801</v>
      </c>
      <c r="C137">
        <v>68</v>
      </c>
      <c r="D137">
        <v>74789.990000000005</v>
      </c>
      <c r="E137" t="s">
        <v>15</v>
      </c>
      <c r="F137" s="13">
        <v>78093.240000000005</v>
      </c>
      <c r="G137">
        <v>74375.02</v>
      </c>
      <c r="H137">
        <v>0</v>
      </c>
      <c r="I137">
        <v>0</v>
      </c>
      <c r="J137" t="s">
        <v>20</v>
      </c>
    </row>
    <row r="138" spans="1:10" ht="15" customHeight="1" x14ac:dyDescent="0.25">
      <c r="A138" s="11">
        <v>46165</v>
      </c>
      <c r="B138" s="2">
        <v>3.7500000000000502</v>
      </c>
      <c r="C138">
        <v>68</v>
      </c>
      <c r="D138">
        <v>75520</v>
      </c>
      <c r="E138" t="s">
        <v>15</v>
      </c>
      <c r="F138" s="13">
        <v>78101.45</v>
      </c>
      <c r="G138">
        <v>74375.02</v>
      </c>
      <c r="H138">
        <v>0</v>
      </c>
      <c r="I138">
        <v>0</v>
      </c>
      <c r="J138" t="s">
        <v>20</v>
      </c>
    </row>
    <row r="139" spans="1:10" ht="15" customHeight="1" x14ac:dyDescent="0.25">
      <c r="A139" s="11">
        <v>46165</v>
      </c>
      <c r="B139" s="2">
        <v>0.91666666666666663</v>
      </c>
      <c r="C139">
        <v>63</v>
      </c>
      <c r="D139">
        <v>75983.45</v>
      </c>
      <c r="E139" t="s">
        <v>15</v>
      </c>
      <c r="F139" s="13">
        <v>78093.14</v>
      </c>
      <c r="G139">
        <v>75561.77</v>
      </c>
      <c r="H139">
        <v>0</v>
      </c>
      <c r="I139">
        <v>0</v>
      </c>
      <c r="J139" t="s">
        <v>20</v>
      </c>
    </row>
    <row r="140" spans="1:10" ht="15" customHeight="1" x14ac:dyDescent="0.25">
      <c r="A140" s="11">
        <v>46166</v>
      </c>
      <c r="B140" s="2">
        <v>3.0833333333333699</v>
      </c>
      <c r="C140">
        <v>61</v>
      </c>
      <c r="D140">
        <v>76752.009999999995</v>
      </c>
      <c r="E140" t="s">
        <v>15</v>
      </c>
      <c r="F140" s="13">
        <v>78108.600000000006</v>
      </c>
      <c r="G140">
        <v>74409.34</v>
      </c>
      <c r="H140">
        <v>0</v>
      </c>
      <c r="I140">
        <v>0</v>
      </c>
      <c r="J140" t="s">
        <v>20</v>
      </c>
    </row>
    <row r="141" spans="1:10" ht="15" customHeight="1" x14ac:dyDescent="0.25">
      <c r="A141" s="11">
        <v>46166</v>
      </c>
      <c r="B141" s="2">
        <v>3.25000000000004</v>
      </c>
      <c r="C141">
        <v>47</v>
      </c>
      <c r="D141">
        <v>76750</v>
      </c>
      <c r="E141" t="s">
        <v>15</v>
      </c>
      <c r="F141" s="13">
        <v>77567.850000000006</v>
      </c>
      <c r="G141">
        <v>74402</v>
      </c>
      <c r="H141">
        <v>0</v>
      </c>
      <c r="I141">
        <v>0</v>
      </c>
      <c r="J141" t="s">
        <v>20</v>
      </c>
    </row>
    <row r="142" spans="1:10" ht="15" customHeight="1" x14ac:dyDescent="0.25">
      <c r="A142" s="11">
        <v>46166</v>
      </c>
      <c r="B142" s="2">
        <v>3.41666666666671</v>
      </c>
      <c r="C142">
        <v>50</v>
      </c>
      <c r="D142">
        <v>76799.990000000005</v>
      </c>
      <c r="E142" t="s">
        <v>15</v>
      </c>
      <c r="F142" s="13">
        <v>77588.63</v>
      </c>
      <c r="G142" s="14">
        <v>74403.41</v>
      </c>
      <c r="H142">
        <v>0</v>
      </c>
      <c r="J142" t="s">
        <v>20</v>
      </c>
    </row>
    <row r="143" spans="1:10" ht="15" customHeight="1" x14ac:dyDescent="0.25">
      <c r="A143" s="11">
        <v>46166</v>
      </c>
      <c r="B143" s="2">
        <v>3.5833333333333801</v>
      </c>
      <c r="C143">
        <v>50</v>
      </c>
      <c r="D143">
        <v>77320.06</v>
      </c>
      <c r="E143" t="s">
        <v>15</v>
      </c>
      <c r="F143">
        <v>78126.98</v>
      </c>
      <c r="G143" s="4">
        <v>76856.94</v>
      </c>
      <c r="H143">
        <v>0</v>
      </c>
      <c r="I143" t="s">
        <v>13</v>
      </c>
      <c r="J143">
        <v>0</v>
      </c>
    </row>
    <row r="144" spans="1:10" ht="15" customHeight="1" x14ac:dyDescent="0.25">
      <c r="A144" s="11">
        <v>46166</v>
      </c>
      <c r="B144" s="2">
        <v>3.7500000000000502</v>
      </c>
      <c r="C144">
        <v>51</v>
      </c>
      <c r="D144">
        <v>76371.59</v>
      </c>
      <c r="E144" t="s">
        <v>15</v>
      </c>
      <c r="F144" s="13">
        <v>77641.62</v>
      </c>
      <c r="G144">
        <v>74412.11</v>
      </c>
      <c r="H144">
        <v>0</v>
      </c>
      <c r="I144">
        <v>0</v>
      </c>
      <c r="J144" t="s">
        <v>20</v>
      </c>
    </row>
    <row r="145" spans="1:10" ht="15" customHeight="1" x14ac:dyDescent="0.25">
      <c r="A145" s="11">
        <v>46166</v>
      </c>
      <c r="B145" s="2">
        <v>0.91666666666666663</v>
      </c>
      <c r="C145">
        <v>50</v>
      </c>
      <c r="D145">
        <v>76773.34</v>
      </c>
      <c r="E145" t="s">
        <v>15</v>
      </c>
      <c r="F145" s="13">
        <v>77607.070000000007</v>
      </c>
      <c r="G145">
        <v>76573.320000000007</v>
      </c>
      <c r="H145">
        <v>0</v>
      </c>
      <c r="I145">
        <v>0</v>
      </c>
      <c r="J145" t="s">
        <v>20</v>
      </c>
    </row>
    <row r="146" spans="1:10" ht="15" customHeight="1" x14ac:dyDescent="0.25">
      <c r="A146" s="11">
        <v>46167</v>
      </c>
      <c r="B146" s="2">
        <v>3.0833333333333699</v>
      </c>
      <c r="C146">
        <v>54</v>
      </c>
      <c r="D146">
        <v>77064.960000000006</v>
      </c>
      <c r="E146" t="s">
        <v>15</v>
      </c>
      <c r="F146" s="13">
        <v>77642.13</v>
      </c>
      <c r="G146">
        <v>74413.990000000005</v>
      </c>
      <c r="H146">
        <v>0</v>
      </c>
      <c r="I146">
        <v>0</v>
      </c>
      <c r="J146" t="s">
        <v>20</v>
      </c>
    </row>
    <row r="147" spans="1:10" ht="15" customHeight="1" x14ac:dyDescent="0.25">
      <c r="A147" s="11">
        <v>46167</v>
      </c>
      <c r="B147" s="2">
        <v>3.25000000000004</v>
      </c>
      <c r="C147">
        <v>56</v>
      </c>
      <c r="D147">
        <v>77026.67</v>
      </c>
      <c r="E147" t="s">
        <v>15</v>
      </c>
      <c r="F147" s="13">
        <v>77624.92</v>
      </c>
      <c r="G147">
        <v>74405.11</v>
      </c>
      <c r="H147">
        <v>0</v>
      </c>
      <c r="I147">
        <v>0</v>
      </c>
      <c r="J147" t="s">
        <v>20</v>
      </c>
    </row>
    <row r="148" spans="1:10" ht="15" customHeight="1" x14ac:dyDescent="0.25">
      <c r="A148" s="11">
        <v>46167</v>
      </c>
      <c r="B148" s="2">
        <v>3.41666666666671</v>
      </c>
      <c r="C148">
        <v>56</v>
      </c>
      <c r="D148">
        <v>77026.67</v>
      </c>
      <c r="E148" t="s">
        <v>15</v>
      </c>
      <c r="F148" s="13">
        <v>77624.92</v>
      </c>
      <c r="G148">
        <v>74405.11</v>
      </c>
      <c r="H148">
        <v>0</v>
      </c>
      <c r="I148">
        <v>0</v>
      </c>
      <c r="J148" t="s">
        <v>20</v>
      </c>
    </row>
    <row r="149" spans="1:10" ht="15" customHeight="1" x14ac:dyDescent="0.25">
      <c r="A149" s="11">
        <v>46167</v>
      </c>
      <c r="B149" s="2">
        <v>3.5833333333333801</v>
      </c>
      <c r="C149">
        <v>52</v>
      </c>
      <c r="D149">
        <v>77357.5</v>
      </c>
      <c r="E149" t="s">
        <v>15</v>
      </c>
      <c r="F149" s="13">
        <v>77871.98</v>
      </c>
      <c r="G149">
        <v>77164.53</v>
      </c>
      <c r="H149">
        <v>0</v>
      </c>
      <c r="I149">
        <v>0</v>
      </c>
      <c r="J149" t="s">
        <v>20</v>
      </c>
    </row>
    <row r="150" spans="1:10" ht="15" customHeight="1" x14ac:dyDescent="0.25">
      <c r="A150" s="11">
        <v>46167</v>
      </c>
      <c r="B150" s="2">
        <v>3.7500000000000502</v>
      </c>
      <c r="C150">
        <v>67</v>
      </c>
      <c r="D150">
        <v>77628.820000000007</v>
      </c>
      <c r="E150" t="s">
        <v>12</v>
      </c>
      <c r="F150" s="13">
        <v>77042.97</v>
      </c>
      <c r="G150">
        <v>77793.179999999993</v>
      </c>
      <c r="H150">
        <v>0</v>
      </c>
      <c r="I150">
        <v>0</v>
      </c>
      <c r="J150" t="s">
        <v>20</v>
      </c>
    </row>
    <row r="151" spans="1:10" ht="15" customHeight="1" x14ac:dyDescent="0.25">
      <c r="A151" s="11">
        <v>46167</v>
      </c>
      <c r="B151" s="2">
        <v>0.91666666666666663</v>
      </c>
      <c r="C151">
        <v>52</v>
      </c>
      <c r="D151">
        <v>77441.86</v>
      </c>
      <c r="E151" t="s">
        <v>15</v>
      </c>
      <c r="F151">
        <v>78104.89</v>
      </c>
      <c r="G151" s="4">
        <v>77155.710000000006</v>
      </c>
      <c r="H151">
        <v>0</v>
      </c>
      <c r="I151" t="s">
        <v>13</v>
      </c>
      <c r="J151">
        <v>0</v>
      </c>
    </row>
    <row r="152" spans="1:10" ht="15" customHeight="1" x14ac:dyDescent="0.25">
      <c r="A152" s="11">
        <v>46168</v>
      </c>
      <c r="B152" s="2">
        <v>3.0833333333333699</v>
      </c>
      <c r="C152">
        <v>54</v>
      </c>
      <c r="D152">
        <v>77322.009999999995</v>
      </c>
      <c r="E152" t="s">
        <v>15</v>
      </c>
      <c r="F152">
        <v>78075.289999999994</v>
      </c>
      <c r="G152" s="4">
        <v>77049.62</v>
      </c>
      <c r="H152">
        <v>0</v>
      </c>
      <c r="I152" t="s">
        <v>13</v>
      </c>
      <c r="J152">
        <v>0</v>
      </c>
    </row>
    <row r="153" spans="1:10" ht="15" customHeight="1" x14ac:dyDescent="0.25">
      <c r="A153" s="11">
        <v>46168</v>
      </c>
      <c r="B153" s="2">
        <v>3.25000000000004</v>
      </c>
      <c r="C153">
        <v>54</v>
      </c>
      <c r="D153">
        <v>76664.009999999995</v>
      </c>
      <c r="E153" t="s">
        <v>15</v>
      </c>
      <c r="F153" s="13">
        <v>77740.84</v>
      </c>
      <c r="G153">
        <v>76238</v>
      </c>
      <c r="H153">
        <v>0</v>
      </c>
      <c r="I153">
        <v>0</v>
      </c>
      <c r="J153" t="s">
        <v>20</v>
      </c>
    </row>
    <row r="154" spans="1:10" ht="15" customHeight="1" x14ac:dyDescent="0.25">
      <c r="A154" s="11">
        <v>46168</v>
      </c>
      <c r="B154" s="2">
        <v>3.41666666666671</v>
      </c>
      <c r="C154">
        <v>48</v>
      </c>
      <c r="D154">
        <v>76730.84</v>
      </c>
      <c r="E154" t="s">
        <v>15</v>
      </c>
      <c r="F154" s="13">
        <v>77720.820000000007</v>
      </c>
      <c r="G154">
        <v>76227.67</v>
      </c>
      <c r="H154">
        <v>0</v>
      </c>
      <c r="I154">
        <v>0</v>
      </c>
      <c r="J154" t="s">
        <v>20</v>
      </c>
    </row>
    <row r="155" spans="1:10" ht="15" customHeight="1" x14ac:dyDescent="0.25">
      <c r="A155" s="11">
        <v>46168</v>
      </c>
      <c r="B155" s="2">
        <v>3.5833333333333801</v>
      </c>
      <c r="C155">
        <v>48</v>
      </c>
      <c r="D155">
        <v>77183.55</v>
      </c>
      <c r="E155" t="s">
        <v>15</v>
      </c>
      <c r="F155" s="13">
        <v>77805.19</v>
      </c>
      <c r="G155">
        <v>76636.240000000005</v>
      </c>
      <c r="H155">
        <v>0</v>
      </c>
      <c r="I155">
        <v>0</v>
      </c>
      <c r="J155" t="s">
        <v>20</v>
      </c>
    </row>
    <row r="156" spans="1:10" ht="15" customHeight="1" x14ac:dyDescent="0.25">
      <c r="A156" s="11">
        <v>46168</v>
      </c>
      <c r="B156" s="2">
        <v>3.7500000000000502</v>
      </c>
      <c r="C156">
        <v>46</v>
      </c>
      <c r="D156">
        <v>76518.100000000006</v>
      </c>
      <c r="E156" t="s">
        <v>14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ht="15" customHeight="1" x14ac:dyDescent="0.25">
      <c r="A157" s="11">
        <v>46168</v>
      </c>
      <c r="B157" s="2">
        <v>0.91666666666666663</v>
      </c>
      <c r="C157">
        <v>61</v>
      </c>
      <c r="D157">
        <v>76052</v>
      </c>
      <c r="E157" t="s">
        <v>15</v>
      </c>
      <c r="F157">
        <v>76871.320000000007</v>
      </c>
      <c r="G157" s="4">
        <v>75864.19</v>
      </c>
      <c r="H157">
        <v>0</v>
      </c>
      <c r="I157" t="s">
        <v>13</v>
      </c>
      <c r="J157">
        <v>0</v>
      </c>
    </row>
    <row r="158" spans="1:10" ht="15" customHeight="1" x14ac:dyDescent="0.25">
      <c r="A158" s="11">
        <v>46169</v>
      </c>
      <c r="B158" s="2">
        <v>3.0833333333333699</v>
      </c>
      <c r="C158">
        <v>56</v>
      </c>
      <c r="D158">
        <v>75930.009999999995</v>
      </c>
      <c r="E158" t="s">
        <v>15</v>
      </c>
      <c r="F158">
        <v>78288.66</v>
      </c>
      <c r="G158" s="4">
        <v>75457.66</v>
      </c>
      <c r="H158">
        <v>0</v>
      </c>
      <c r="I158" t="s">
        <v>13</v>
      </c>
      <c r="J158">
        <v>0</v>
      </c>
    </row>
    <row r="159" spans="1:10" ht="15" customHeight="1" x14ac:dyDescent="0.25">
      <c r="A159" s="11">
        <v>46169</v>
      </c>
      <c r="B159" s="2">
        <v>3.25000000000004</v>
      </c>
      <c r="C159">
        <v>65</v>
      </c>
      <c r="D159">
        <v>75683</v>
      </c>
      <c r="E159" t="s">
        <v>15</v>
      </c>
      <c r="F159">
        <v>76346.03</v>
      </c>
      <c r="G159" s="4">
        <v>75458.37</v>
      </c>
      <c r="H159">
        <v>0</v>
      </c>
      <c r="I159" t="s">
        <v>13</v>
      </c>
      <c r="J159">
        <v>0</v>
      </c>
    </row>
    <row r="160" spans="1:10" ht="15" customHeight="1" x14ac:dyDescent="0.25">
      <c r="A160" s="11">
        <v>46169</v>
      </c>
      <c r="B160" s="2">
        <v>3.41666666666671</v>
      </c>
      <c r="C160">
        <v>65</v>
      </c>
      <c r="D160">
        <v>75977.17</v>
      </c>
      <c r="E160" t="s">
        <v>15</v>
      </c>
      <c r="F160">
        <v>76619.89</v>
      </c>
      <c r="G160" s="4">
        <v>74393.3</v>
      </c>
      <c r="H160">
        <v>0</v>
      </c>
      <c r="I160" t="s">
        <v>13</v>
      </c>
      <c r="J160">
        <v>0</v>
      </c>
    </row>
    <row r="161" spans="1:10" ht="15" customHeight="1" x14ac:dyDescent="0.25">
      <c r="A161" s="11">
        <v>46169</v>
      </c>
      <c r="B161" s="2">
        <v>3.5833333333333801</v>
      </c>
      <c r="C161">
        <v>60</v>
      </c>
      <c r="D161">
        <v>75769.179999999993</v>
      </c>
      <c r="E161" t="s">
        <v>15</v>
      </c>
      <c r="F161">
        <v>76298.759999999995</v>
      </c>
      <c r="G161" s="4">
        <v>75351.520000000004</v>
      </c>
      <c r="H161">
        <v>0</v>
      </c>
      <c r="I161" t="s">
        <v>13</v>
      </c>
      <c r="J161">
        <v>0</v>
      </c>
    </row>
    <row r="162" spans="1:10" ht="15" customHeight="1" x14ac:dyDescent="0.25">
      <c r="A162" s="11">
        <v>46169</v>
      </c>
      <c r="B162" s="2">
        <v>3.7500000000000502</v>
      </c>
      <c r="C162">
        <v>67</v>
      </c>
      <c r="D162">
        <v>75326.009999999995</v>
      </c>
      <c r="E162" t="s">
        <v>15</v>
      </c>
      <c r="F162">
        <v>76320</v>
      </c>
      <c r="G162" s="4">
        <v>74829.399999999994</v>
      </c>
      <c r="H162">
        <v>0</v>
      </c>
      <c r="I162" t="s">
        <v>13</v>
      </c>
      <c r="J162">
        <v>0</v>
      </c>
    </row>
    <row r="163" spans="1:10" ht="15" customHeight="1" x14ac:dyDescent="0.25">
      <c r="A163" s="11">
        <v>46169</v>
      </c>
      <c r="B163" s="2">
        <v>0.91666666666666663</v>
      </c>
      <c r="C163">
        <v>62</v>
      </c>
      <c r="D163">
        <v>75066.080000000002</v>
      </c>
      <c r="E163" t="s">
        <v>15</v>
      </c>
      <c r="F163">
        <v>75668.539999999994</v>
      </c>
      <c r="G163" s="4">
        <v>74728.62</v>
      </c>
      <c r="H163">
        <v>0</v>
      </c>
      <c r="I163" t="s">
        <v>13</v>
      </c>
      <c r="J163">
        <v>0</v>
      </c>
    </row>
    <row r="164" spans="1:10" ht="15" customHeight="1" x14ac:dyDescent="0.25">
      <c r="A164" s="11">
        <v>46170</v>
      </c>
      <c r="B164" s="2">
        <v>3.0833333333333699</v>
      </c>
      <c r="C164">
        <v>58</v>
      </c>
      <c r="D164">
        <v>74449.3</v>
      </c>
      <c r="E164" t="s">
        <v>15</v>
      </c>
      <c r="F164">
        <v>76370.75</v>
      </c>
      <c r="G164" t="s">
        <v>17</v>
      </c>
      <c r="H164">
        <v>0</v>
      </c>
      <c r="I164">
        <v>0</v>
      </c>
      <c r="J164">
        <v>0</v>
      </c>
    </row>
    <row r="165" spans="1:10" ht="15" customHeight="1" x14ac:dyDescent="0.25">
      <c r="A165" s="11">
        <v>46170</v>
      </c>
      <c r="B165" s="2">
        <v>3.25000000000004</v>
      </c>
      <c r="C165">
        <v>68</v>
      </c>
      <c r="D165">
        <v>73258.009999999995</v>
      </c>
      <c r="E165" t="s">
        <v>15</v>
      </c>
      <c r="F165">
        <v>76392.240000000005</v>
      </c>
      <c r="G165" t="s">
        <v>17</v>
      </c>
      <c r="H165">
        <v>0</v>
      </c>
      <c r="I165">
        <v>0</v>
      </c>
      <c r="J165">
        <v>0</v>
      </c>
    </row>
    <row r="166" spans="1:10" ht="15" customHeight="1" x14ac:dyDescent="0.25">
      <c r="A166" s="11">
        <v>46170</v>
      </c>
      <c r="B166" s="2">
        <v>3.41666666666671</v>
      </c>
      <c r="C166">
        <v>70</v>
      </c>
      <c r="D166">
        <v>73498</v>
      </c>
      <c r="E166" t="s">
        <v>15</v>
      </c>
      <c r="F166">
        <v>76398.34</v>
      </c>
      <c r="G166" s="4">
        <v>72861.59</v>
      </c>
      <c r="H166">
        <v>0</v>
      </c>
      <c r="I166" t="s">
        <v>13</v>
      </c>
      <c r="J166">
        <v>0</v>
      </c>
    </row>
    <row r="167" spans="1:10" ht="15" customHeight="1" x14ac:dyDescent="0.25">
      <c r="A167" s="11">
        <v>46170</v>
      </c>
      <c r="B167" s="2">
        <v>3.5833333333333801</v>
      </c>
      <c r="C167">
        <v>65</v>
      </c>
      <c r="D167">
        <v>73505.66</v>
      </c>
      <c r="E167" t="s">
        <v>15</v>
      </c>
      <c r="F167">
        <v>76389.350000000006</v>
      </c>
      <c r="G167" s="4">
        <v>73278.100000000006</v>
      </c>
      <c r="H167">
        <v>0</v>
      </c>
      <c r="I167" t="s">
        <v>13</v>
      </c>
      <c r="J167">
        <v>0</v>
      </c>
    </row>
    <row r="168" spans="1:10" ht="15" customHeight="1" x14ac:dyDescent="0.25">
      <c r="A168" s="11">
        <v>46170</v>
      </c>
      <c r="B168" s="2">
        <v>3.7500000000000502</v>
      </c>
      <c r="C168">
        <v>70</v>
      </c>
      <c r="D168">
        <v>72928.73</v>
      </c>
      <c r="E168" t="s">
        <v>15</v>
      </c>
      <c r="F168">
        <v>76400.259999999995</v>
      </c>
      <c r="G168" s="4">
        <v>72729.440000000002</v>
      </c>
      <c r="H168">
        <v>0</v>
      </c>
      <c r="I168" t="s">
        <v>13</v>
      </c>
      <c r="J168">
        <v>0</v>
      </c>
    </row>
    <row r="169" spans="1:10" ht="15" customHeight="1" x14ac:dyDescent="0.25">
      <c r="A169" s="11">
        <v>46170</v>
      </c>
      <c r="B169" s="2">
        <v>0.91666666666666663</v>
      </c>
      <c r="C169">
        <v>63</v>
      </c>
      <c r="D169">
        <v>73419.320000000007</v>
      </c>
      <c r="E169" t="s">
        <v>15</v>
      </c>
      <c r="F169">
        <v>76432.800000000003</v>
      </c>
      <c r="G169" s="4">
        <v>72716.27</v>
      </c>
      <c r="H169">
        <v>0</v>
      </c>
      <c r="I169" t="s">
        <v>13</v>
      </c>
      <c r="J169">
        <v>0</v>
      </c>
    </row>
    <row r="170" spans="1:10" ht="15" customHeight="1" x14ac:dyDescent="0.25">
      <c r="A170" s="11">
        <v>46171</v>
      </c>
      <c r="B170" s="2">
        <v>3.0833333333333699</v>
      </c>
      <c r="C170">
        <v>61</v>
      </c>
      <c r="D170">
        <v>73617.509999999995</v>
      </c>
      <c r="E170" t="s">
        <v>15</v>
      </c>
      <c r="F170">
        <v>76410.66</v>
      </c>
      <c r="G170" s="4">
        <v>73372.03</v>
      </c>
      <c r="H170">
        <v>0</v>
      </c>
      <c r="I170" t="s">
        <v>13</v>
      </c>
      <c r="J170">
        <v>0</v>
      </c>
    </row>
    <row r="171" spans="1:10" ht="15" customHeight="1" x14ac:dyDescent="0.25">
      <c r="A171" s="11">
        <v>46171</v>
      </c>
      <c r="B171" s="2">
        <v>3.25000000000004</v>
      </c>
      <c r="C171">
        <v>63</v>
      </c>
      <c r="D171">
        <v>73301.52</v>
      </c>
      <c r="E171" t="s">
        <v>15</v>
      </c>
      <c r="F171">
        <v>74081.440000000002</v>
      </c>
      <c r="G171" s="4">
        <v>72741.289999999994</v>
      </c>
      <c r="H171">
        <v>0</v>
      </c>
      <c r="I171" t="s">
        <v>13</v>
      </c>
      <c r="J171">
        <v>0</v>
      </c>
    </row>
    <row r="172" spans="1:10" ht="15" customHeight="1" x14ac:dyDescent="0.25">
      <c r="A172" s="11">
        <v>46171</v>
      </c>
      <c r="B172" s="2">
        <v>3.41666666666671</v>
      </c>
      <c r="C172">
        <v>65</v>
      </c>
      <c r="D172">
        <v>73528.56</v>
      </c>
      <c r="E172" t="s">
        <v>15</v>
      </c>
      <c r="F172" s="13">
        <v>74185.75</v>
      </c>
      <c r="G172" s="14">
        <v>73271.77</v>
      </c>
      <c r="H172">
        <v>0</v>
      </c>
      <c r="I172">
        <v>0</v>
      </c>
      <c r="J172" t="s">
        <v>20</v>
      </c>
    </row>
    <row r="173" spans="1:10" ht="15" customHeight="1" x14ac:dyDescent="0.25">
      <c r="A173" s="11">
        <v>46171</v>
      </c>
      <c r="B173" s="2">
        <v>3.5833333333333801</v>
      </c>
      <c r="C173">
        <v>65</v>
      </c>
      <c r="D173">
        <v>73487.98</v>
      </c>
      <c r="E173" t="s">
        <v>15</v>
      </c>
      <c r="F173" s="13">
        <v>74187.05</v>
      </c>
      <c r="G173" s="14">
        <v>73272.44</v>
      </c>
      <c r="H173">
        <v>0</v>
      </c>
      <c r="I173">
        <v>0</v>
      </c>
      <c r="J173" t="s">
        <v>20</v>
      </c>
    </row>
    <row r="174" spans="1:10" ht="15" customHeight="1" x14ac:dyDescent="0.25">
      <c r="A174" s="11">
        <v>46171</v>
      </c>
      <c r="B174" s="2">
        <v>3.7500000000000502</v>
      </c>
      <c r="C174">
        <v>68</v>
      </c>
      <c r="D174">
        <v>73808.259999999995</v>
      </c>
      <c r="E174" t="s">
        <v>15</v>
      </c>
      <c r="F174">
        <v>74407.83</v>
      </c>
      <c r="G174" s="4">
        <v>72680.679999999993</v>
      </c>
      <c r="H174">
        <v>0</v>
      </c>
      <c r="I174" t="s">
        <v>13</v>
      </c>
      <c r="J174">
        <v>0</v>
      </c>
    </row>
    <row r="175" spans="1:10" ht="15" customHeight="1" x14ac:dyDescent="0.25">
      <c r="A175" s="11">
        <v>46171</v>
      </c>
      <c r="B175" s="2">
        <v>0.91666666666666663</v>
      </c>
      <c r="C175">
        <v>57</v>
      </c>
      <c r="D175">
        <v>73520.28</v>
      </c>
      <c r="E175" t="s">
        <v>15</v>
      </c>
      <c r="F175">
        <v>76451.44</v>
      </c>
      <c r="G175" s="4">
        <v>73293.070000000007</v>
      </c>
      <c r="H175">
        <v>0</v>
      </c>
      <c r="I175" t="s">
        <v>13</v>
      </c>
      <c r="J175">
        <v>0</v>
      </c>
    </row>
    <row r="176" spans="1:10" ht="15" customHeight="1" x14ac:dyDescent="0.25">
      <c r="A176" s="11">
        <v>46172</v>
      </c>
      <c r="B176" s="2">
        <v>3.0833333333333699</v>
      </c>
      <c r="C176">
        <v>50</v>
      </c>
      <c r="D176">
        <v>73460.78</v>
      </c>
      <c r="E176" t="s">
        <v>15</v>
      </c>
      <c r="F176">
        <v>76433.47</v>
      </c>
      <c r="G176" s="4">
        <v>73282.38</v>
      </c>
      <c r="H176">
        <v>0</v>
      </c>
      <c r="I176" t="s">
        <v>13</v>
      </c>
      <c r="J176">
        <v>0</v>
      </c>
    </row>
    <row r="177" spans="1:10" ht="15" customHeight="1" x14ac:dyDescent="0.25">
      <c r="A177" s="11">
        <v>46172</v>
      </c>
      <c r="B177" s="2">
        <v>3.25000000000004</v>
      </c>
      <c r="C177">
        <v>48</v>
      </c>
      <c r="D177">
        <v>73524.009999999995</v>
      </c>
      <c r="E177" t="s">
        <v>15</v>
      </c>
      <c r="F177">
        <v>74766.240000000005</v>
      </c>
      <c r="G177" s="4">
        <v>73280.09</v>
      </c>
      <c r="H177">
        <v>0</v>
      </c>
      <c r="I177" t="s">
        <v>13</v>
      </c>
      <c r="J177">
        <v>0</v>
      </c>
    </row>
    <row r="178" spans="1:10" ht="15" customHeight="1" x14ac:dyDescent="0.25">
      <c r="A178" s="11">
        <v>46172</v>
      </c>
      <c r="B178" s="2">
        <v>3.41666666666671</v>
      </c>
      <c r="C178">
        <v>48</v>
      </c>
      <c r="D178">
        <v>73548.600000000006</v>
      </c>
      <c r="E178" t="s">
        <v>15</v>
      </c>
      <c r="F178">
        <v>74752.58</v>
      </c>
      <c r="G178" s="4">
        <v>73273.05</v>
      </c>
      <c r="H178">
        <v>0</v>
      </c>
      <c r="I178" t="s">
        <v>13</v>
      </c>
      <c r="J178">
        <v>0</v>
      </c>
    </row>
    <row r="179" spans="1:10" ht="15" customHeight="1" x14ac:dyDescent="0.25">
      <c r="A179" s="11">
        <v>46172</v>
      </c>
      <c r="B179" s="2">
        <v>3.5833333333333801</v>
      </c>
      <c r="C179">
        <v>48</v>
      </c>
      <c r="D179">
        <v>73602.02</v>
      </c>
      <c r="E179" t="s">
        <v>15</v>
      </c>
      <c r="F179" s="13">
        <v>74123.61</v>
      </c>
      <c r="G179">
        <v>73359.02</v>
      </c>
      <c r="H179">
        <v>0</v>
      </c>
      <c r="I179">
        <v>0</v>
      </c>
      <c r="J179" t="s">
        <v>20</v>
      </c>
    </row>
    <row r="180" spans="1:10" ht="15" customHeight="1" x14ac:dyDescent="0.25">
      <c r="A180" s="11">
        <v>46172</v>
      </c>
      <c r="B180" s="2">
        <v>3.7500000000000502</v>
      </c>
      <c r="C180">
        <v>48</v>
      </c>
      <c r="D180">
        <v>73930.14</v>
      </c>
      <c r="E180" t="s">
        <v>15</v>
      </c>
      <c r="F180">
        <v>74712.759999999995</v>
      </c>
      <c r="G180" s="4">
        <v>73411.47</v>
      </c>
      <c r="H180">
        <v>0</v>
      </c>
      <c r="I180" t="s">
        <v>13</v>
      </c>
      <c r="J180">
        <v>0</v>
      </c>
    </row>
    <row r="181" spans="1:10" ht="15" customHeight="1" x14ac:dyDescent="0.25">
      <c r="A181" s="11">
        <v>46172</v>
      </c>
      <c r="B181" s="2">
        <v>0.91666666666666663</v>
      </c>
      <c r="C181">
        <v>46</v>
      </c>
      <c r="D181">
        <v>74016.649999999994</v>
      </c>
      <c r="E181" t="s">
        <v>15</v>
      </c>
      <c r="F181">
        <v>74741.919999999998</v>
      </c>
      <c r="G181" s="4">
        <v>73321.2</v>
      </c>
      <c r="H181">
        <v>0</v>
      </c>
      <c r="I181" t="s">
        <v>13</v>
      </c>
      <c r="J181">
        <v>0</v>
      </c>
    </row>
    <row r="182" spans="1:10" ht="15" customHeight="1" x14ac:dyDescent="0.25">
      <c r="A182" s="11">
        <v>46173</v>
      </c>
      <c r="B182" s="2">
        <v>3.0833333333333699</v>
      </c>
      <c r="C182">
        <v>52</v>
      </c>
      <c r="D182">
        <v>73884.38</v>
      </c>
      <c r="E182" t="s">
        <v>15</v>
      </c>
      <c r="F182">
        <v>74339.28</v>
      </c>
      <c r="G182" s="4">
        <v>73355.66</v>
      </c>
      <c r="H182">
        <v>0</v>
      </c>
      <c r="I182" t="s">
        <v>13</v>
      </c>
      <c r="J182">
        <v>0</v>
      </c>
    </row>
    <row r="183" spans="1:10" ht="15" customHeight="1" x14ac:dyDescent="0.25">
      <c r="A183" s="11">
        <v>46173</v>
      </c>
      <c r="B183" s="2">
        <v>3.25000000000004</v>
      </c>
      <c r="C183">
        <v>51</v>
      </c>
      <c r="D183">
        <v>74150.64</v>
      </c>
      <c r="E183" t="s">
        <v>15</v>
      </c>
      <c r="F183">
        <v>74715.399999999994</v>
      </c>
      <c r="G183" s="4">
        <v>73307.520000000004</v>
      </c>
      <c r="H183">
        <v>0</v>
      </c>
      <c r="I183" t="s">
        <v>13</v>
      </c>
      <c r="J183">
        <v>0</v>
      </c>
    </row>
    <row r="184" spans="1:10" ht="15" customHeight="1" x14ac:dyDescent="0.25">
      <c r="A184" s="11">
        <v>46173</v>
      </c>
      <c r="B184" s="2">
        <v>3.41666666666671</v>
      </c>
      <c r="C184">
        <v>51</v>
      </c>
      <c r="D184">
        <v>73871.240000000005</v>
      </c>
      <c r="E184" t="s">
        <v>15</v>
      </c>
      <c r="F184">
        <v>74320.88</v>
      </c>
      <c r="G184" s="4">
        <v>73346.16</v>
      </c>
      <c r="H184">
        <v>0</v>
      </c>
      <c r="I184" t="s">
        <v>13</v>
      </c>
      <c r="J184">
        <v>0</v>
      </c>
    </row>
    <row r="185" spans="1:10" ht="15" customHeight="1" x14ac:dyDescent="0.25">
      <c r="A185" s="11">
        <v>46173</v>
      </c>
      <c r="B185" s="2">
        <v>3.5833333333333801</v>
      </c>
      <c r="C185">
        <v>52</v>
      </c>
      <c r="D185">
        <v>73937.789999999994</v>
      </c>
      <c r="E185" t="s">
        <v>15</v>
      </c>
      <c r="F185">
        <v>74382.649999999994</v>
      </c>
      <c r="G185" s="4">
        <v>73342.48</v>
      </c>
      <c r="H185">
        <v>0</v>
      </c>
      <c r="I185" t="s">
        <v>13</v>
      </c>
      <c r="J185">
        <v>0</v>
      </c>
    </row>
    <row r="186" spans="1:10" ht="15" customHeight="1" x14ac:dyDescent="0.25">
      <c r="A186" s="11">
        <v>46173</v>
      </c>
      <c r="B186" s="2">
        <v>3.7500000000000502</v>
      </c>
      <c r="C186">
        <v>48</v>
      </c>
      <c r="D186">
        <v>73655.210000000006</v>
      </c>
      <c r="E186" t="s">
        <v>15</v>
      </c>
      <c r="F186">
        <v>74378.86</v>
      </c>
      <c r="G186" s="4">
        <v>73286.53</v>
      </c>
      <c r="H186">
        <v>0</v>
      </c>
      <c r="I186" t="s">
        <v>13</v>
      </c>
      <c r="J186">
        <v>0</v>
      </c>
    </row>
    <row r="187" spans="1:10" ht="15" customHeight="1" x14ac:dyDescent="0.25">
      <c r="A187" s="11">
        <v>46173</v>
      </c>
      <c r="B187" s="2">
        <v>0.91666666666666663</v>
      </c>
      <c r="C187">
        <v>40</v>
      </c>
      <c r="D187">
        <v>73563.42</v>
      </c>
      <c r="E187" t="s">
        <v>15</v>
      </c>
      <c r="F187">
        <v>74347.259999999995</v>
      </c>
      <c r="G187" s="4">
        <v>73318.83</v>
      </c>
      <c r="H187">
        <v>0</v>
      </c>
      <c r="I187" t="s">
        <v>13</v>
      </c>
      <c r="J187">
        <v>0</v>
      </c>
    </row>
    <row r="1048576" spans="9:9" ht="15" customHeight="1" x14ac:dyDescent="0.25">
      <c r="I1048576">
        <f>SUM(I3:I1048575)</f>
        <v>0</v>
      </c>
    </row>
  </sheetData>
  <phoneticPr fontId="2" type="noConversion"/>
  <conditionalFormatting sqref="F110">
    <cfRule type="cellIs" dxfId="45" priority="213" operator="equal">
      <formula>"PUSTE"</formula>
    </cfRule>
  </conditionalFormatting>
  <conditionalFormatting sqref="G1:G1048576">
    <cfRule type="cellIs" dxfId="44" priority="273" operator="equal">
      <formula>"PUSTE"</formula>
    </cfRule>
  </conditionalFormatting>
  <conditionalFormatting sqref="H3:H19">
    <cfRule type="cellIs" dxfId="36" priority="260" operator="equal">
      <formula>"S"</formula>
    </cfRule>
  </conditionalFormatting>
  <conditionalFormatting sqref="H22:H26">
    <cfRule type="cellIs" dxfId="35" priority="257" operator="equal">
      <formula>"S"</formula>
    </cfRule>
  </conditionalFormatting>
  <conditionalFormatting sqref="H41:H55">
    <cfRule type="cellIs" dxfId="34" priority="252" operator="equal">
      <formula>"S"</formula>
    </cfRule>
  </conditionalFormatting>
  <conditionalFormatting sqref="H57:H61">
    <cfRule type="cellIs" dxfId="33" priority="248" operator="equal">
      <formula>"S"</formula>
    </cfRule>
  </conditionalFormatting>
  <conditionalFormatting sqref="H65:H67">
    <cfRule type="cellIs" dxfId="32" priority="241" operator="equal">
      <formula>"S"</formula>
    </cfRule>
  </conditionalFormatting>
  <conditionalFormatting sqref="H90:H109">
    <cfRule type="cellIs" dxfId="31" priority="215" operator="equal">
      <formula>"S"</formula>
    </cfRule>
  </conditionalFormatting>
  <conditionalFormatting sqref="H120:H122">
    <cfRule type="cellIs" dxfId="30" priority="211" operator="equal">
      <formula>"S"</formula>
    </cfRule>
  </conditionalFormatting>
  <conditionalFormatting sqref="H125:H128">
    <cfRule type="cellIs" dxfId="29" priority="208" operator="equal">
      <formula>"S"</formula>
    </cfRule>
  </conditionalFormatting>
  <conditionalFormatting sqref="H130:H132">
    <cfRule type="cellIs" dxfId="28" priority="205" operator="equal">
      <formula>"S"</formula>
    </cfRule>
  </conditionalFormatting>
  <conditionalFormatting sqref="H151:H152">
    <cfRule type="cellIs" dxfId="27" priority="194" operator="equal">
      <formula>"Z"</formula>
    </cfRule>
  </conditionalFormatting>
  <conditionalFormatting sqref="H157:H178">
    <cfRule type="cellIs" dxfId="26" priority="191" operator="equal">
      <formula>"Z"</formula>
    </cfRule>
  </conditionalFormatting>
  <conditionalFormatting sqref="H180:H187">
    <cfRule type="cellIs" dxfId="25" priority="189" operator="equal">
      <formula>"Z"</formula>
    </cfRule>
  </conditionalFormatting>
  <conditionalFormatting sqref="H78:I83">
    <cfRule type="cellIs" dxfId="24" priority="229" operator="equal">
      <formula>"S"</formula>
    </cfRule>
  </conditionalFormatting>
  <conditionalFormatting sqref="H85:I87">
    <cfRule type="cellIs" dxfId="23" priority="225" operator="equal">
      <formula>"S"</formula>
    </cfRule>
  </conditionalFormatting>
  <conditionalFormatting sqref="I1:I2">
    <cfRule type="cellIs" dxfId="22" priority="270" operator="equal">
      <formula>"Z"</formula>
    </cfRule>
  </conditionalFormatting>
  <conditionalFormatting sqref="I3:I4">
    <cfRule type="cellIs" dxfId="21" priority="263" operator="equal">
      <formula>"S"</formula>
    </cfRule>
  </conditionalFormatting>
  <conditionalFormatting sqref="I5:I64">
    <cfRule type="cellIs" dxfId="20" priority="250" operator="equal">
      <formula>"Z"</formula>
    </cfRule>
  </conditionalFormatting>
  <conditionalFormatting sqref="I65:I70">
    <cfRule type="cellIs" dxfId="19" priority="242" operator="equal">
      <formula>"S"</formula>
    </cfRule>
  </conditionalFormatting>
  <conditionalFormatting sqref="I72:I77">
    <cfRule type="cellIs" dxfId="18" priority="233" operator="equal">
      <formula>"Z"</formula>
    </cfRule>
  </conditionalFormatting>
  <conditionalFormatting sqref="I84">
    <cfRule type="cellIs" dxfId="17" priority="235" operator="equal">
      <formula>"Z"</formula>
    </cfRule>
  </conditionalFormatting>
  <conditionalFormatting sqref="I88:I107">
    <cfRule type="cellIs" dxfId="16" priority="219" operator="equal">
      <formula>"Z"</formula>
    </cfRule>
  </conditionalFormatting>
  <conditionalFormatting sqref="I108:I109">
    <cfRule type="cellIs" dxfId="15" priority="214" operator="equal">
      <formula>"S"</formula>
    </cfRule>
  </conditionalFormatting>
  <conditionalFormatting sqref="I110:I1048576">
    <cfRule type="cellIs" dxfId="14" priority="193" operator="equal">
      <formula>"Z"</formula>
    </cfRule>
  </conditionalFormatting>
  <conditionalFormatting sqref="J1:J40 J56 J62:J64 J71 J74 J82:J83 J85 J108:J119 J123:J124 J129 J133:J1048576">
    <cfRule type="cellIs" dxfId="13" priority="274" operator="equal">
      <formula>"S"</formula>
    </cfRule>
  </conditionalFormatting>
  <conditionalFormatting sqref="J3:J10">
    <cfRule type="cellIs" dxfId="12" priority="265" operator="equal">
      <formula>"S"</formula>
    </cfRule>
  </conditionalFormatting>
  <conditionalFormatting sqref="J12:J19">
    <cfRule type="cellIs" dxfId="11" priority="259" operator="equal">
      <formula>"S"</formula>
    </cfRule>
  </conditionalFormatting>
  <conditionalFormatting sqref="J22:J26">
    <cfRule type="cellIs" dxfId="10" priority="256" operator="equal">
      <formula>"S"</formula>
    </cfRule>
  </conditionalFormatting>
  <conditionalFormatting sqref="J41:J55">
    <cfRule type="cellIs" dxfId="9" priority="251" operator="equal">
      <formula>"S"</formula>
    </cfRule>
  </conditionalFormatting>
  <conditionalFormatting sqref="J57:J61">
    <cfRule type="cellIs" dxfId="8" priority="247" operator="equal">
      <formula>"S"</formula>
    </cfRule>
  </conditionalFormatting>
  <conditionalFormatting sqref="J65:J67">
    <cfRule type="cellIs" dxfId="7" priority="240" operator="equal">
      <formula>"S"</formula>
    </cfRule>
  </conditionalFormatting>
  <conditionalFormatting sqref="J72:J73">
    <cfRule type="cellIs" dxfId="6" priority="232" operator="equal">
      <formula>"S"</formula>
    </cfRule>
  </conditionalFormatting>
  <conditionalFormatting sqref="J75:J81">
    <cfRule type="cellIs" dxfId="5" priority="231" operator="equal">
      <formula>"S"</formula>
    </cfRule>
  </conditionalFormatting>
  <conditionalFormatting sqref="J84">
    <cfRule type="cellIs" dxfId="4" priority="234" operator="equal">
      <formula>"S"</formula>
    </cfRule>
  </conditionalFormatting>
  <conditionalFormatting sqref="J86:J107">
    <cfRule type="cellIs" dxfId="3" priority="217" operator="equal">
      <formula>"S"</formula>
    </cfRule>
  </conditionalFormatting>
  <conditionalFormatting sqref="J120:J122">
    <cfRule type="cellIs" dxfId="2" priority="210" operator="equal">
      <formula>"S"</formula>
    </cfRule>
  </conditionalFormatting>
  <conditionalFormatting sqref="J125:J128">
    <cfRule type="cellIs" dxfId="1" priority="207" operator="equal">
      <formula>"S"</formula>
    </cfRule>
  </conditionalFormatting>
  <conditionalFormatting sqref="J130:J132">
    <cfRule type="cellIs" dxfId="0" priority="204" operator="equal">
      <formula>"S"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</dc:creator>
  <cp:keywords/>
  <dc:description/>
  <cp:lastModifiedBy>Mariusz Jaworski</cp:lastModifiedBy>
  <cp:revision/>
  <dcterms:created xsi:type="dcterms:W3CDTF">2026-02-16T16:09:40Z</dcterms:created>
  <dcterms:modified xsi:type="dcterms:W3CDTF">2026-08-21T13:19:24Z</dcterms:modified>
  <cp:category/>
  <cp:contentStatus/>
</cp:coreProperties>
</file>